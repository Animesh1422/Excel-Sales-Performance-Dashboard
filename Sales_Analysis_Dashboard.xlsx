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F4D3D7F6-03A9-41CE-85CC-0668DB20136F}" xr6:coauthVersionLast="47" xr6:coauthVersionMax="47" xr10:uidLastSave="{00000000-0000-0000-0000-000000000000}"/>
  <bookViews>
    <workbookView xWindow="-108" yWindow="-108" windowWidth="23256" windowHeight="13176" xr2:uid="{9559E226-20AE-460D-A964-2B1D4710692C}"/>
  </bookViews>
  <sheets>
    <sheet name="Dashboard" sheetId="7" r:id="rId1"/>
    <sheet name="Data" sheetId="1" r:id="rId2"/>
    <sheet name="Pivot_KPI" sheetId="9" r:id="rId3"/>
    <sheet name="Pivot_Month" sheetId="8" r:id="rId4"/>
    <sheet name="Pivot_Category" sheetId="6" r:id="rId5"/>
    <sheet name="Pivot_Product" sheetId="2" r:id="rId6"/>
    <sheet name="Pivot_Profit" sheetId="4" r:id="rId7"/>
    <sheet name="Pivot_Region" sheetId="3" r:id="rId8"/>
  </sheets>
  <definedNames>
    <definedName name="Slicer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7" l="1" a="1"/>
  <c r="G6" i="7" s="1"/>
  <c r="L6" i="7"/>
  <c r="V6" i="7"/>
  <c r="Q6" i="7"/>
  <c r="B6" i="7"/>
  <c r="K2" i="1" l="1"/>
  <c r="K3" i="1"/>
  <c r="K4" i="1"/>
  <c r="K5" i="1"/>
  <c r="K6" i="1"/>
  <c r="K7" i="1"/>
  <c r="K8" i="1"/>
  <c r="K9" i="1"/>
  <c r="K10" i="1"/>
  <c r="K11" i="1"/>
  <c r="K12" i="1"/>
  <c r="K13" i="1"/>
  <c r="K14" i="1"/>
  <c r="K15" i="1"/>
  <c r="K16" i="1"/>
  <c r="K17" i="1"/>
  <c r="K18" i="1"/>
  <c r="K19" i="1"/>
  <c r="K20" i="1"/>
  <c r="K21" i="1"/>
  <c r="K22" i="1"/>
  <c r="K23" i="1"/>
  <c r="K24" i="1"/>
  <c r="K25" i="1"/>
  <c r="K26" i="1"/>
  <c r="J2" i="1"/>
  <c r="J3" i="1"/>
  <c r="J4" i="1"/>
  <c r="J5" i="1"/>
  <c r="J6" i="1"/>
  <c r="J7" i="1"/>
  <c r="J8" i="1"/>
  <c r="J9" i="1"/>
  <c r="J10" i="1"/>
  <c r="J11" i="1"/>
  <c r="J12" i="1"/>
  <c r="J13" i="1"/>
  <c r="J14" i="1"/>
  <c r="J15" i="1"/>
  <c r="J16" i="1"/>
  <c r="J17" i="1"/>
  <c r="J18" i="1"/>
  <c r="J19" i="1"/>
  <c r="J20" i="1"/>
  <c r="J21" i="1"/>
  <c r="J22" i="1"/>
  <c r="J23" i="1"/>
  <c r="J24" i="1"/>
  <c r="J25" i="1"/>
  <c r="J26" i="1"/>
  <c r="I2" i="1"/>
  <c r="I3" i="1"/>
  <c r="I4" i="1"/>
  <c r="I5" i="1"/>
  <c r="I6" i="1"/>
  <c r="I7" i="1"/>
  <c r="I8" i="1"/>
  <c r="I9" i="1"/>
  <c r="I10" i="1"/>
  <c r="I11" i="1"/>
  <c r="I12" i="1"/>
  <c r="I13" i="1"/>
  <c r="I14" i="1"/>
  <c r="I15" i="1"/>
  <c r="I16" i="1"/>
  <c r="I17" i="1"/>
  <c r="I18" i="1"/>
  <c r="I19" i="1"/>
  <c r="I20" i="1"/>
  <c r="I21" i="1"/>
  <c r="I22" i="1"/>
  <c r="I23" i="1"/>
  <c r="I24" i="1"/>
  <c r="I25" i="1"/>
  <c r="I2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<sst xmlns="http://schemas.openxmlformats.org/spreadsheetml/2006/main" count="129" uniqueCount="38">
  <si>
    <t>Order_ID</t>
  </si>
  <si>
    <t>Order_Date</t>
  </si>
  <si>
    <t>Region</t>
  </si>
  <si>
    <t>Product</t>
  </si>
  <si>
    <t>Category</t>
  </si>
  <si>
    <t>Quantity</t>
  </si>
  <si>
    <t>Unit_Price</t>
  </si>
  <si>
    <t>Unit_Cost</t>
  </si>
  <si>
    <t>North</t>
  </si>
  <si>
    <t>Laptop</t>
  </si>
  <si>
    <t>Electronics</t>
  </si>
  <si>
    <t>South</t>
  </si>
  <si>
    <t>Mouse</t>
  </si>
  <si>
    <t>Accessories</t>
  </si>
  <si>
    <t>East</t>
  </si>
  <si>
    <t>Keyboard</t>
  </si>
  <si>
    <t>West</t>
  </si>
  <si>
    <t>Monitor</t>
  </si>
  <si>
    <t>Total_Sales</t>
  </si>
  <si>
    <t>Total_Cost</t>
  </si>
  <si>
    <t>Total_Profit</t>
  </si>
  <si>
    <t>Row Labels</t>
  </si>
  <si>
    <t>Grand Total</t>
  </si>
  <si>
    <t>Sum of Total_Sales</t>
  </si>
  <si>
    <t>Sum of Total_Profit</t>
  </si>
  <si>
    <t>TOTAL SALES</t>
  </si>
  <si>
    <t>TOTAL ORDER</t>
  </si>
  <si>
    <t>TOTAL PROFIT</t>
  </si>
  <si>
    <t>TOTAL QUANTITY</t>
  </si>
  <si>
    <t xml:space="preserve">AVERAGE ORDER VALUE </t>
  </si>
  <si>
    <t>SALES PERFORMANCE DASHBOARD</t>
  </si>
  <si>
    <t>Jan</t>
  </si>
  <si>
    <t>Feb</t>
  </si>
  <si>
    <t>Mar</t>
  </si>
  <si>
    <t>Sum of Quantity</t>
  </si>
  <si>
    <t>Count of Order_ID</t>
  </si>
  <si>
    <t>Sales</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</si>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</sst>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5" x14ac:knownFonts="1">
    <font>
      <sz val="11"/>
      <color theme="1"/>
      <name val="Calibri"/>
      <family val="2"/>
      <scheme val="minor"/>
    </font>
    <font>
      <sz val="24"/>
      <color theme="0"/>
      <name val="Bell MT"/>
      <family val="1"/>
    </font>
    <font>
      <sz val="28"/>
      <color theme="0"/>
      <name val="Calibri"/>
      <family val="2"/>
      <scheme val="minor"/>
    </font>
    <font>
      <sz val="12"/>
      <color theme="0"/>
      <name val="Baskerville Old Face"/>
      <family val="1"/>
    </font>
    <font>
      <sz val="22"/>
      <color theme="0"/>
      <name val="Baskerville Old Face"/>
      <family val="1"/>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2" borderId="0" xfId="0" applyFill="1"/>
    <xf numFmtId="0" fontId="1" fillId="0" borderId="0" xfId="0" applyFont="1"/>
    <xf numFmtId="0" fontId="3" fillId="2" borderId="0" xfId="0" applyFont="1" applyFill="1" applyAlignment="1">
      <alignment horizontal="center"/>
    </xf>
    <xf numFmtId="0" fontId="2" fillId="2" borderId="0" xfId="0" applyFont="1" applyFill="1" applyAlignment="1">
      <alignment horizontal="center"/>
    </xf>
    <xf numFmtId="0" fontId="1" fillId="2" borderId="0" xfId="0" applyFont="1" applyFill="1" applyAlignment="1">
      <alignment horizontal="center"/>
    </xf>
    <xf numFmtId="0" fontId="4" fillId="2" borderId="0" xfId="0" applyFont="1" applyFill="1" applyAlignment="1">
      <alignment horizontal="center"/>
    </xf>
    <xf numFmtId="164" fontId="2" fillId="2" borderId="0" xfId="0" applyNumberFormat="1" applyFont="1" applyFill="1" applyAlignment="1">
      <alignment horizontal="center"/>
    </xf>
    <xf numFmtId="0" fontId="0" fillId="0" borderId="0" xfId="0" applyNumberFormat="1"/>
  </cellXfs>
  <cellStyles count="1">
    <cellStyle name="Normal" xfId="0" builtinId="0"/>
  </cellStyles>
  <dxfs count="1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[Sales_Analysis_Dashboard.xlsx]Pivot_Product!PivotTable2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Product-Wise Sales Analysis</a:t>
            </a:r>
          </a:p>
          <a:p>
            <a:pPr>
              <a:defRPr/>
            </a:pPr>
            <a:endParaRPr lang="en-US"/>
          </a:p>
        </c:rich>
      </c:tx>
      <c:layout>
        <c:manualLayout>
          <c:xMode val="edge"/>
          <c:yMode val="edge"/>
          <c:x val="0.13945362012675244"/>
          <c:y val="6.814313118511901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numFmt formatCode="[&gt;=10000000]##\,##\,##\,##0;[&gt;=100000]##\,##\,##0;##,##0" sourceLinked="0"/>
          <c:spPr>
            <a:solidFill>
              <a:sysClr val="windowText" lastClr="000000">
                <a:lumMod val="65000"/>
                <a:lumOff val="35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Pivot_Product!$B$3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gt;=10000000]##\,##\,##\,##0;[&gt;=100000]##\,##\,##0;##,##0" sourceLinked="0"/>
            <c:spPr>
              <a:solidFill>
                <a:sysClr val="windowText" lastClr="000000">
                  <a:lumMod val="65000"/>
                  <a:lumOff val="35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Pivot_Product!$A$4:$A$8</c:f>
              <c:strCache>
                <c:ptCount val="4"/>
                <c:pt idx="0">
                  <c:v>Keyboard</c:v>
                </c:pt>
                <c:pt idx="1">
                  <c:v>Laptop</c:v>
                </c:pt>
                <c:pt idx="2">
                  <c:v>Monitor</c:v>
                </c:pt>
                <c:pt idx="3">
                  <c:v>Mouse</c:v>
                </c:pt>
              </c:strCache>
            </c:strRef>
          </c:cat>
          <c:val>
            <c:numRef>
              <c:f>Pivot_Product!$B$4:$B$8</c:f>
              <c:numCache>
                <c:formatCode>General</c:formatCode>
                <c:ptCount val="4"/>
                <c:pt idx="0">
                  <c:v>30000</c:v>
                </c:pt>
                <c:pt idx="1">
                  <c:v>450000</c:v>
                </c:pt>
                <c:pt idx="2">
                  <c:v>204000</c:v>
                </c:pt>
                <c:pt idx="3">
                  <c:v>28500</c:v>
                </c:pt>
              </c:numCache>
            </c:numRef>
          </c:val>
          <c:extLst>
            <c:ext xmlns:c16="http://schemas.microsoft.com/office/drawing/2014/chart" uri="{C3380CC4-5D6E-409C-BE32-E72D297353CC}">
              <c16:uniqueId val="{00000000-BEE1-4210-A891-99B101160B8B}"/>
            </c:ext>
          </c:extLst>
        </c:ser>
        <c:dLbls>
          <c:dLblPos val="inEnd"/>
          <c:showLegendKey val="0"/>
          <c:showVal val="1"/>
          <c:showCatName val="0"/>
          <c:showSerName val="0"/>
          <c:showPercent val="0"/>
          <c:showBubbleSize val="0"/>
        </c:dLbls>
        <c:gapWidth val="65"/>
        <c:axId val="1016627280"/>
        <c:axId val="1507774928"/>
      </c:barChart>
      <c:catAx>
        <c:axId val="10166272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7774928"/>
        <c:crosses val="autoZero"/>
        <c:auto val="1"/>
        <c:lblAlgn val="ctr"/>
        <c:lblOffset val="100"/>
        <c:noMultiLvlLbl val="0"/>
      </c:catAx>
      <c:valAx>
        <c:axId val="1507774928"/>
        <c:scaling>
          <c:orientation val="minMax"/>
        </c:scaling>
        <c:delete val="1"/>
        <c:axPos val="l"/>
        <c:numFmt formatCode="General" sourceLinked="1"/>
        <c:majorTickMark val="none"/>
        <c:minorTickMark val="none"/>
        <c:tickLblPos val="nextTo"/>
        <c:crossAx val="101662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[Sales_Analysis_Dashboard.xlsx]Pivot_Region!PivotTable4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 Sales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numFmt formatCode="[&gt;=10000000]##\,##\,##\,##0;[&gt;=10000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gt;=10000000]##\,##\,##\,##0;[&gt;=10000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Pivot_Region!$A$4:$A$8</c:f>
              <c:strCache>
                <c:ptCount val="4"/>
                <c:pt idx="0">
                  <c:v>West</c:v>
                </c:pt>
                <c:pt idx="1">
                  <c:v>South</c:v>
                </c:pt>
                <c:pt idx="2">
                  <c:v>East</c:v>
                </c:pt>
                <c:pt idx="3">
                  <c:v>North</c:v>
                </c:pt>
              </c:strCache>
            </c:strRef>
          </c:cat>
          <c:val>
            <c:numRef>
              <c:f>Pivot_Region!$B$4:$B$8</c:f>
              <c:numCache>
                <c:formatCode>General</c:formatCode>
                <c:ptCount val="4"/>
                <c:pt idx="0">
                  <c:v>101200</c:v>
                </c:pt>
                <c:pt idx="1">
                  <c:v>186500</c:v>
                </c:pt>
                <c:pt idx="2">
                  <c:v>202000</c:v>
                </c:pt>
                <c:pt idx="3">
                  <c:v>222800</c:v>
                </c:pt>
              </c:numCache>
            </c:numRef>
          </c:val>
          <c:extLst>
            <c:ext xmlns:c16="http://schemas.microsoft.com/office/drawing/2014/chart" uri="{C3380CC4-5D6E-409C-BE32-E72D297353CC}">
              <c16:uniqueId val="{00000000-5F80-438A-9FC6-0B3121C44655}"/>
            </c:ext>
          </c:extLst>
        </c:ser>
        <c:dLbls>
          <c:dLblPos val="inEnd"/>
          <c:showLegendKey val="0"/>
          <c:showVal val="1"/>
          <c:showCatName val="0"/>
          <c:showSerName val="0"/>
          <c:showPercent val="0"/>
          <c:showBubbleSize val="0"/>
        </c:dLbls>
        <c:gapWidth val="65"/>
        <c:axId val="122354192"/>
        <c:axId val="1420117712"/>
      </c:barChart>
      <c:catAx>
        <c:axId val="1223541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0117712"/>
        <c:crosses val="autoZero"/>
        <c:auto val="1"/>
        <c:lblAlgn val="ctr"/>
        <c:lblOffset val="100"/>
        <c:noMultiLvlLbl val="0"/>
      </c:catAx>
      <c:valAx>
        <c:axId val="1420117712"/>
        <c:scaling>
          <c:orientation val="minMax"/>
        </c:scaling>
        <c:delete val="1"/>
        <c:axPos val="b"/>
        <c:numFmt formatCode="General" sourceLinked="1"/>
        <c:majorTickMark val="none"/>
        <c:minorTickMark val="none"/>
        <c:tickLblPos val="nextTo"/>
        <c:crossAx val="12235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[Sales_Analysis_Dashboard.xlsx]Pivot_Profit!PivotTable5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Product-Wise Profit Analysis</a:t>
            </a:r>
          </a:p>
          <a:p>
            <a:pPr>
              <a:defRPr/>
            </a:pPr>
            <a:endParaRPr lang="en-US"/>
          </a:p>
        </c:rich>
      </c:tx>
      <c:layout>
        <c:manualLayout>
          <c:xMode val="edge"/>
          <c:yMode val="edge"/>
          <c:x val="0.16166487711763303"/>
          <c:y val="3.2674524608308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numFmt formatCode="[&gt;=10000000]##\,##\,##\,##0;[&gt;=100000]##\,##\,##0;##,##0" sourceLinked="0"/>
          <c:spPr>
            <a:solidFill>
              <a:sysClr val="windowText" lastClr="000000">
                <a:lumMod val="65000"/>
                <a:lumOff val="35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57904383852846"/>
          <c:y val="0.26555958186887541"/>
          <c:w val="0.73578937007874012"/>
          <c:h val="0.53774387576552929"/>
        </c:manualLayout>
      </c:layout>
      <c:barChart>
        <c:barDir val="col"/>
        <c:grouping val="clustered"/>
        <c:varyColors val="0"/>
        <c:ser>
          <c:idx val="0"/>
          <c:order val="0"/>
          <c:tx>
            <c:strRef>
              <c:f>Pivot_Profit!$B$3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gt;=10000000]##\,##\,##\,##0;[&gt;=100000]##\,##\,##0;##,##0" sourceLinked="0"/>
            <c:spPr>
              <a:solidFill>
                <a:sysClr val="windowText" lastClr="000000">
                  <a:lumMod val="65000"/>
                  <a:lumOff val="35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Pivot_Profit!$A$4:$A$8</c:f>
              <c:strCache>
                <c:ptCount val="4"/>
                <c:pt idx="0">
                  <c:v>Keyboard</c:v>
                </c:pt>
                <c:pt idx="1">
                  <c:v>Laptop</c:v>
                </c:pt>
                <c:pt idx="2">
                  <c:v>Monitor</c:v>
                </c:pt>
                <c:pt idx="3">
                  <c:v>Mouse</c:v>
                </c:pt>
              </c:strCache>
            </c:strRef>
          </c:cat>
          <c:val>
            <c:numRef>
              <c:f>Pivot_Profit!$B$4:$B$8</c:f>
              <c:numCache>
                <c:formatCode>General</c:formatCode>
                <c:ptCount val="4"/>
                <c:pt idx="0">
                  <c:v>10000</c:v>
                </c:pt>
                <c:pt idx="1">
                  <c:v>90000</c:v>
                </c:pt>
                <c:pt idx="2">
                  <c:v>51000</c:v>
                </c:pt>
                <c:pt idx="3">
                  <c:v>11400</c:v>
                </c:pt>
              </c:numCache>
            </c:numRef>
          </c:val>
          <c:extLst>
            <c:ext xmlns:c16="http://schemas.microsoft.com/office/drawing/2014/chart" uri="{C3380CC4-5D6E-409C-BE32-E72D297353CC}">
              <c16:uniqueId val="{00000000-D50F-4C9A-8793-3EE5A44CBC5A}"/>
            </c:ext>
          </c:extLst>
        </c:ser>
        <c:dLbls>
          <c:dLblPos val="inEnd"/>
          <c:showLegendKey val="0"/>
          <c:showVal val="1"/>
          <c:showCatName val="0"/>
          <c:showSerName val="0"/>
          <c:showPercent val="0"/>
          <c:showBubbleSize val="0"/>
        </c:dLbls>
        <c:gapWidth val="65"/>
        <c:axId val="105266560"/>
        <c:axId val="1420113872"/>
      </c:barChart>
      <c:catAx>
        <c:axId val="1052665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0113872"/>
        <c:crosses val="autoZero"/>
        <c:auto val="1"/>
        <c:lblAlgn val="ctr"/>
        <c:lblOffset val="100"/>
        <c:noMultiLvlLbl val="0"/>
      </c:catAx>
      <c:valAx>
        <c:axId val="1420113872"/>
        <c:scaling>
          <c:orientation val="minMax"/>
        </c:scaling>
        <c:delete val="1"/>
        <c:axPos val="l"/>
        <c:numFmt formatCode="General" sourceLinked="1"/>
        <c:majorTickMark val="none"/>
        <c:minorTickMark val="none"/>
        <c:tickLblPos val="nextTo"/>
        <c:crossAx val="10526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[Sales_Analysis_Dashboard.xlsx]Pivot_Category!PivotTable7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Sales Contribution</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s>
    <c:plotArea>
      <c:layout/>
      <c:doughnutChart>
        <c:varyColors val="1"/>
        <c:ser>
          <c:idx val="0"/>
          <c:order val="0"/>
          <c:tx>
            <c:strRef>
              <c:f>Pivot_Category!$B$3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44-4FF5-80A7-60801F5BCC0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44-4FF5-80A7-60801F5BCC0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Pivot_Category!$A$4:$A$6</c:f>
              <c:strCache>
                <c:ptCount val="2"/>
                <c:pt idx="0">
                  <c:v>Accessories</c:v>
                </c:pt>
                <c:pt idx="1">
                  <c:v>Electronics</c:v>
                </c:pt>
              </c:strCache>
            </c:strRef>
          </c:cat>
          <c:val>
            <c:numRef>
              <c:f>Pivot_Category!$B$4:$B$6</c:f>
              <c:numCache>
                <c:formatCode>General</c:formatCode>
                <c:ptCount val="2"/>
                <c:pt idx="0">
                  <c:v>58500</c:v>
                </c:pt>
                <c:pt idx="1">
                  <c:v>654000</c:v>
                </c:pt>
              </c:numCache>
            </c:numRef>
          </c:val>
          <c:extLst>
            <c:ext xmlns:c16="http://schemas.microsoft.com/office/drawing/2014/chart" uri="{C3380CC4-5D6E-409C-BE32-E72D297353CC}">
              <c16:uniqueId val="{00000004-1C44-4FF5-80A7-60801F5BCC09}"/>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[Sales_Analysis_Dashboard.xlsx]Pivot_Month!PivotTable1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Monthly Sales &amp; Profit Trend</a:t>
            </a:r>
            <a:endParaRPr lang="en-IN" sz="18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alpha val="85000"/>
            </a:schemeClr>
          </a:solidFill>
          <a:ln w="31750" cap="rnd" cmpd="sng" algn="ctr">
            <a:solidFill>
              <a:schemeClr val="accent1"/>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alpha val="85000"/>
            </a:schemeClr>
          </a:solidFill>
          <a:ln w="31750" cap="rnd" cmpd="sng" algn="ctr">
            <a:solidFill>
              <a:schemeClr val="accent1"/>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numFmt formatCode="[&gt;=10000000]##\,##\,##\,##0;[&gt;=100000]##\,##\,##0;##,##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1750" cap="rnd">
            <a:solidFill>
              <a:schemeClr val="accent1"/>
            </a:solidFill>
            <a:round/>
          </a:ln>
          <a:effectLst/>
        </c:spPr>
        <c:marker>
          <c:symbol val="none"/>
        </c:marker>
        <c:dLbl>
          <c:idx val="0"/>
          <c:numFmt formatCode="[&gt;=10000000]##\,##\,##\,##0;[&gt;=100000]##\,##\,##0;##,##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7.9400176558065694E-2"/>
          <c:y val="3.2564450474898234E-2"/>
          <c:w val="0.84119964688386861"/>
          <c:h val="0.84511971281744458"/>
        </c:manualLayout>
      </c:layout>
      <c:barChart>
        <c:barDir val="col"/>
        <c:grouping val="clustered"/>
        <c:varyColors val="0"/>
        <c:ser>
          <c:idx val="0"/>
          <c:order val="0"/>
          <c:tx>
            <c:strRef>
              <c:f>Pivot_Month!$B$3</c:f>
              <c:strCache>
                <c:ptCount val="1"/>
                <c:pt idx="0">
                  <c:v>Sales</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gt;=10000000]##\,##\,##\,##0;[&gt;=100000]##\,##\,##0;##,##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Pivot_Month!$A$4:$A$7</c:f>
              <c:strCache>
                <c:ptCount val="3"/>
                <c:pt idx="0">
                  <c:v>Jan</c:v>
                </c:pt>
                <c:pt idx="1">
                  <c:v>Feb</c:v>
                </c:pt>
                <c:pt idx="2">
                  <c:v>Mar</c:v>
                </c:pt>
              </c:strCache>
            </c:strRef>
          </c:cat>
          <c:val>
            <c:numRef>
              <c:f>Pivot_Month!$B$4:$B$7</c:f>
              <c:numCache>
                <c:formatCode>General</c:formatCode>
                <c:ptCount val="3"/>
                <c:pt idx="0">
                  <c:v>256300</c:v>
                </c:pt>
                <c:pt idx="1">
                  <c:v>244300</c:v>
                </c:pt>
                <c:pt idx="2">
                  <c:v>211900</c:v>
                </c:pt>
              </c:numCache>
            </c:numRef>
          </c:val>
          <c:extLst>
            <c:ext xmlns:c16="http://schemas.microsoft.com/office/drawing/2014/chart" uri="{C3380CC4-5D6E-409C-BE32-E72D297353CC}">
              <c16:uniqueId val="{00000000-5792-4DFC-8446-9DCA664C17EA}"/>
            </c:ext>
          </c:extLst>
        </c:ser>
        <c:dLbls>
          <c:showLegendKey val="0"/>
          <c:showVal val="0"/>
          <c:showCatName val="0"/>
          <c:showSerName val="0"/>
          <c:showPercent val="0"/>
          <c:showBubbleSize val="0"/>
        </c:dLbls>
        <c:gapWidth val="150"/>
        <c:axId val="1947942447"/>
        <c:axId val="1979727215"/>
      </c:barChart>
      <c:lineChart>
        <c:grouping val="standard"/>
        <c:varyColors val="0"/>
        <c:ser>
          <c:idx val="1"/>
          <c:order val="1"/>
          <c:tx>
            <c:strRef>
              <c:f>Pivot_Month!$C$3</c:f>
              <c:strCache>
                <c:ptCount val="1"/>
                <c:pt idx="0">
                  <c:v>Profit</c:v>
                </c:pt>
              </c:strCache>
            </c:strRef>
          </c:tx>
          <c:spPr>
            <a:ln w="31750" cap="rnd">
              <a:solidFill>
                <a:schemeClr val="accent2"/>
              </a:solidFill>
              <a:round/>
            </a:ln>
            <a:effectLst/>
          </c:spPr>
          <c:marker>
            <c:symbol val="none"/>
          </c:marker>
          <c:dLbls>
            <c:numFmt formatCode="[&gt;=10000000]##\,##\,##\,##0;[&gt;=100000]##\,##\,##0;##,##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Pivot_Month!$A$4:$A$7</c:f>
              <c:strCache>
                <c:ptCount val="3"/>
                <c:pt idx="0">
                  <c:v>Jan</c:v>
                </c:pt>
                <c:pt idx="1">
                  <c:v>Feb</c:v>
                </c:pt>
                <c:pt idx="2">
                  <c:v>Mar</c:v>
                </c:pt>
              </c:strCache>
            </c:strRef>
          </c:cat>
          <c:val>
            <c:numRef>
              <c:f>Pivot_Month!$C$4:$C$7</c:f>
              <c:numCache>
                <c:formatCode>General</c:formatCode>
                <c:ptCount val="3"/>
                <c:pt idx="0">
                  <c:v>59200</c:v>
                </c:pt>
                <c:pt idx="1">
                  <c:v>53400</c:v>
                </c:pt>
                <c:pt idx="2">
                  <c:v>49800</c:v>
                </c:pt>
              </c:numCache>
            </c:numRef>
          </c:val>
          <c:smooth val="0"/>
          <c:extLst>
            <c:ext xmlns:c16="http://schemas.microsoft.com/office/drawing/2014/chart" uri="{C3380CC4-5D6E-409C-BE32-E72D297353CC}">
              <c16:uniqueId val="{00000001-5792-4DFC-8446-9DCA664C17EA}"/>
            </c:ext>
          </c:extLst>
        </c:ser>
        <c:dLbls>
          <c:showLegendKey val="0"/>
          <c:showVal val="0"/>
          <c:showCatName val="0"/>
          <c:showSerName val="0"/>
          <c:showPercent val="0"/>
          <c:showBubbleSize val="0"/>
        </c:dLbls>
        <c:marker val="1"/>
        <c:smooth val="0"/>
        <c:axId val="2114631231"/>
        <c:axId val="1979887055"/>
      </c:lineChart>
      <c:catAx>
        <c:axId val="194794244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9727215"/>
        <c:crosses val="autoZero"/>
        <c:auto val="1"/>
        <c:lblAlgn val="ctr"/>
        <c:lblOffset val="100"/>
        <c:noMultiLvlLbl val="0"/>
      </c:catAx>
      <c:valAx>
        <c:axId val="1979727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47942447"/>
        <c:crosses val="autoZero"/>
        <c:crossBetween val="between"/>
      </c:valAx>
      <c:valAx>
        <c:axId val="1979887055"/>
        <c:scaling>
          <c:orientation val="minMax"/>
          <c:max val="100000"/>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14631231"/>
        <c:crosses val="max"/>
        <c:crossBetween val="between"/>
      </c:valAx>
      <c:catAx>
        <c:axId val="2114631231"/>
        <c:scaling>
          <c:orientation val="minMax"/>
        </c:scaling>
        <c:delete val="1"/>
        <c:axPos val="b"/>
        <c:numFmt formatCode="General" sourceLinked="1"/>
        <c:majorTickMark val="out"/>
        <c:minorTickMark val="none"/>
        <c:tickLblPos val="nextTo"/>
        <c:crossAx val="1979887055"/>
        <c:crosses val="autoZero"/>
        <c:auto val="1"/>
        <c:lblAlgn val="ctr"/>
        <c:lblOffset val="100"/>
        <c:noMultiLvlLbl val="0"/>
      </c:cat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[Sales_Analysis_Dashboard.xlsx]Pivot_Category!PivotTable7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a:t>
            </a:r>
            <a:r>
              <a:rPr lang="en-US" baseline="0"/>
              <a:t> Sales Contribution</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12-4F66-B9ED-88B47E52797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12-4F66-B9ED-88B47E5279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Pivot_Category!$A$4:$A$6</c:f>
              <c:strCache>
                <c:ptCount val="2"/>
                <c:pt idx="0">
                  <c:v>Accessories</c:v>
                </c:pt>
                <c:pt idx="1">
                  <c:v>Electronics</c:v>
                </c:pt>
              </c:strCache>
            </c:strRef>
          </c:cat>
          <c:val>
            <c:numRef>
              <c:f>Pivot_Category!$B$4:$B$6</c:f>
              <c:numCache>
                <c:formatCode>General</c:formatCode>
                <c:ptCount val="2"/>
                <c:pt idx="0">
                  <c:v>58500</c:v>
                </c:pt>
                <c:pt idx="1">
                  <c:v>654000</c:v>
                </c:pt>
              </c:numCache>
            </c:numRef>
          </c:val>
          <c:extLst>
            <c:ext xmlns:c16="http://schemas.microsoft.com/office/drawing/2014/chart" uri="{C3380CC4-5D6E-409C-BE32-E72D297353CC}">
              <c16:uniqueId val="{00000000-B636-4E3A-9640-5CB50CB0E76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[Sales_Analysis_Dashboard.xlsx]Pivot_Product!PivotTable2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Product-Wise Sales Analysis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Pivot_Product!$B$3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Pivot_Product!$A$4:$A$8</c:f>
              <c:strCache>
                <c:ptCount val="4"/>
                <c:pt idx="0">
                  <c:v>Keyboard</c:v>
                </c:pt>
                <c:pt idx="1">
                  <c:v>Laptop</c:v>
                </c:pt>
                <c:pt idx="2">
                  <c:v>Monitor</c:v>
                </c:pt>
                <c:pt idx="3">
                  <c:v>Mouse</c:v>
                </c:pt>
              </c:strCache>
            </c:strRef>
          </c:cat>
          <c:val>
            <c:numRef>
              <c:f>Pivot_Product!$B$4:$B$8</c:f>
              <c:numCache>
                <c:formatCode>General</c:formatCode>
                <c:ptCount val="4"/>
                <c:pt idx="0">
                  <c:v>30000</c:v>
                </c:pt>
                <c:pt idx="1">
                  <c:v>450000</c:v>
                </c:pt>
                <c:pt idx="2">
                  <c:v>204000</c:v>
                </c:pt>
                <c:pt idx="3">
                  <c:v>28500</c:v>
                </c:pt>
              </c:numCache>
            </c:numRef>
          </c:val>
          <c:extLst>
            <c:ext xmlns:c16="http://schemas.microsoft.com/office/drawing/2014/chart" uri="{C3380CC4-5D6E-409C-BE32-E72D297353CC}">
              <c16:uniqueId val="{00000000-3CFC-4B16-B710-B0E3165B7B22}"/>
            </c:ext>
          </c:extLst>
        </c:ser>
        <c:dLbls>
          <c:dLblPos val="inEnd"/>
          <c:showLegendKey val="0"/>
          <c:showVal val="1"/>
          <c:showCatName val="0"/>
          <c:showSerName val="0"/>
          <c:showPercent val="0"/>
          <c:showBubbleSize val="0"/>
        </c:dLbls>
        <c:gapWidth val="65"/>
        <c:axId val="1016627280"/>
        <c:axId val="1507774928"/>
      </c:barChart>
      <c:catAx>
        <c:axId val="10166272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7774928"/>
        <c:crosses val="autoZero"/>
        <c:auto val="1"/>
        <c:lblAlgn val="ctr"/>
        <c:lblOffset val="100"/>
        <c:noMultiLvlLbl val="0"/>
      </c:catAx>
      <c:valAx>
        <c:axId val="1507774928"/>
        <c:scaling>
          <c:orientation val="minMax"/>
        </c:scaling>
        <c:delete val="1"/>
        <c:axPos val="l"/>
        <c:numFmt formatCode="General" sourceLinked="1"/>
        <c:majorTickMark val="none"/>
        <c:minorTickMark val="none"/>
        <c:tickLblPos val="nextTo"/>
        <c:crossAx val="10166272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[Sales_Analysis_Dashboard.xlsx]Pivot_Profit!PivotTable5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Product-Wise Profit Analysis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9203849518813"/>
          <c:y val="0.25402559055118112"/>
          <c:w val="0.73578937007874012"/>
          <c:h val="0.53774387576552929"/>
        </c:manualLayout>
      </c:layout>
      <c:barChart>
        <c:barDir val="col"/>
        <c:grouping val="clustered"/>
        <c:varyColors val="0"/>
        <c:ser>
          <c:idx val="0"/>
          <c:order val="0"/>
          <c:tx>
            <c:strRef>
              <c:f>Pivot_Profit!$B$3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Pivot_Profit!$A$4:$A$8</c:f>
              <c:strCache>
                <c:ptCount val="4"/>
                <c:pt idx="0">
                  <c:v>Keyboard</c:v>
                </c:pt>
                <c:pt idx="1">
                  <c:v>Laptop</c:v>
                </c:pt>
                <c:pt idx="2">
                  <c:v>Monitor</c:v>
                </c:pt>
                <c:pt idx="3">
                  <c:v>Mouse</c:v>
                </c:pt>
              </c:strCache>
            </c:strRef>
          </c:cat>
          <c:val>
            <c:numRef>
              <c:f>Pivot_Profit!$B$4:$B$8</c:f>
              <c:numCache>
                <c:formatCode>General</c:formatCode>
                <c:ptCount val="4"/>
                <c:pt idx="0">
                  <c:v>10000</c:v>
                </c:pt>
                <c:pt idx="1">
                  <c:v>90000</c:v>
                </c:pt>
                <c:pt idx="2">
                  <c:v>51000</c:v>
                </c:pt>
                <c:pt idx="3">
                  <c:v>11400</c:v>
                </c:pt>
              </c:numCache>
            </c:numRef>
          </c:val>
          <c:extLst>
            <c:ext xmlns:c16="http://schemas.microsoft.com/office/drawing/2014/chart" uri="{C3380CC4-5D6E-409C-BE32-E72D297353CC}">
              <c16:uniqueId val="{00000000-566A-4BDC-B720-B080E3E18966}"/>
            </c:ext>
          </c:extLst>
        </c:ser>
        <c:dLbls>
          <c:dLblPos val="inEnd"/>
          <c:showLegendKey val="0"/>
          <c:showVal val="1"/>
          <c:showCatName val="0"/>
          <c:showSerName val="0"/>
          <c:showPercent val="0"/>
          <c:showBubbleSize val="0"/>
        </c:dLbls>
        <c:gapWidth val="65"/>
        <c:axId val="105266560"/>
        <c:axId val="1420113872"/>
      </c:barChart>
      <c:catAx>
        <c:axId val="1052665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0113872"/>
        <c:crosses val="autoZero"/>
        <c:auto val="1"/>
        <c:lblAlgn val="ctr"/>
        <c:lblOffset val="100"/>
        <c:noMultiLvlLbl val="0"/>
      </c:catAx>
      <c:valAx>
        <c:axId val="1420113872"/>
        <c:scaling>
          <c:orientation val="minMax"/>
        </c:scaling>
        <c:delete val="1"/>
        <c:axPos val="l"/>
        <c:numFmt formatCode="General" sourceLinked="1"/>
        <c:majorTickMark val="none"/>
        <c:minorTickMark val="none"/>
        <c:tickLblPos val="nextTo"/>
        <c:crossAx val="1052665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[Sales_Analysis_Dashboard.xlsx]Pivot_Region!PivotTable4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a:t>
            </a:r>
            <a:r>
              <a:rPr lang="en-US" baseline="0"/>
              <a:t> sales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Pivot_Region!$A$4:$A$8</c:f>
              <c:strCache>
                <c:ptCount val="4"/>
                <c:pt idx="0">
                  <c:v>West</c:v>
                </c:pt>
                <c:pt idx="1">
                  <c:v>South</c:v>
                </c:pt>
                <c:pt idx="2">
                  <c:v>East</c:v>
                </c:pt>
                <c:pt idx="3">
                  <c:v>North</c:v>
                </c:pt>
              </c:strCache>
            </c:strRef>
          </c:cat>
          <c:val>
            <c:numRef>
              <c:f>Pivot_Region!$B$4:$B$8</c:f>
              <c:numCache>
                <c:formatCode>General</c:formatCode>
                <c:ptCount val="4"/>
                <c:pt idx="0">
                  <c:v>101200</c:v>
                </c:pt>
                <c:pt idx="1">
                  <c:v>186500</c:v>
                </c:pt>
                <c:pt idx="2">
                  <c:v>202000</c:v>
                </c:pt>
                <c:pt idx="3">
                  <c:v>222800</c:v>
                </c:pt>
              </c:numCache>
            </c:numRef>
          </c:val>
          <c:extLst>
            <c:ext xmlns:c16="http://schemas.microsoft.com/office/drawing/2014/chart" uri="{C3380CC4-5D6E-409C-BE32-E72D297353CC}">
              <c16:uniqueId val="{00000000-6FDB-49DD-BE7F-9FE88D0252A5}"/>
            </c:ext>
          </c:extLst>
        </c:ser>
        <c:dLbls>
          <c:dLblPos val="inEnd"/>
          <c:showLegendKey val="0"/>
          <c:showVal val="1"/>
          <c:showCatName val="0"/>
          <c:showSerName val="0"/>
          <c:showPercent val="0"/>
          <c:showBubbleSize val="0"/>
        </c:dLbls>
        <c:gapWidth val="65"/>
        <c:axId val="122354192"/>
        <c:axId val="1420117712"/>
      </c:barChart>
      <c:catAx>
        <c:axId val="1223541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0117712"/>
        <c:crosses val="autoZero"/>
        <c:auto val="1"/>
        <c:lblAlgn val="ctr"/>
        <c:lblOffset val="100"/>
        <c:noMultiLvlLbl val="0"/>
      </c:catAx>
      <c:valAx>
        <c:axId val="142011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23541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17</xdr:col>
      <xdr:colOff>0</xdr:colOff>
      <xdr:row>25</xdr:row>
      <xdr:rowOff>5714</xdr:rowOff>
    </xdr:from>
    <xdr:to>
      <xdr:col>25</xdr:col>
      <xdr:colOff>0</xdr:colOff>
      <xdr:row>37</xdr:row>
      <xdr:rowOff>0</xdr:rowOff>
    </xdr:to>
    <xdr:graphicFrame macro="">
      <xdr:nvGraphicFramePr>
        <xdr:cNvPr id="2" name="Chart 1">
          <a:extLst>
            <a:ext uri="{FF2B5EF4-FFF2-40B4-BE49-F238E27FC236}">
              <a16:creationId xmlns:a16="http://schemas.microsoft.com/office/drawing/2014/main" id="{BCF52817-6F0D-41A6-B740-6297F1386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4354</xdr:colOff>
      <xdr:row>25</xdr:row>
      <xdr:rowOff>0</xdr:rowOff>
    </xdr:from>
    <xdr:to>
      <xdr:col>16</xdr:col>
      <xdr:colOff>576943</xdr:colOff>
      <xdr:row>37</xdr:row>
      <xdr:rowOff>0</xdr:rowOff>
    </xdr:to>
    <xdr:graphicFrame macro="">
      <xdr:nvGraphicFramePr>
        <xdr:cNvPr id="3" name="Chart 2">
          <a:extLst>
            <a:ext uri="{FF2B5EF4-FFF2-40B4-BE49-F238E27FC236}">
              <a16:creationId xmlns:a16="http://schemas.microsoft.com/office/drawing/2014/main" id="{08178B93-65D3-42AA-B03F-12C2F49AF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24</xdr:row>
      <xdr:rowOff>174172</xdr:rowOff>
    </xdr:from>
    <xdr:to>
      <xdr:col>8</xdr:col>
      <xdr:colOff>576944</xdr:colOff>
      <xdr:row>36</xdr:row>
      <xdr:rowOff>174171</xdr:rowOff>
    </xdr:to>
    <xdr:graphicFrame macro="">
      <xdr:nvGraphicFramePr>
        <xdr:cNvPr id="4" name="Chart 3">
          <a:extLst>
            <a:ext uri="{FF2B5EF4-FFF2-40B4-BE49-F238E27FC236}">
              <a16:creationId xmlns:a16="http://schemas.microsoft.com/office/drawing/2014/main" id="{A9B72432-379F-404A-B7B0-9C713120F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11</xdr:row>
      <xdr:rowOff>10886</xdr:rowOff>
    </xdr:from>
    <xdr:to>
      <xdr:col>25</xdr:col>
      <xdr:colOff>0</xdr:colOff>
      <xdr:row>24</xdr:row>
      <xdr:rowOff>0</xdr:rowOff>
    </xdr:to>
    <xdr:graphicFrame macro="">
      <xdr:nvGraphicFramePr>
        <xdr:cNvPr id="5" name="Chart 4">
          <a:extLst>
            <a:ext uri="{FF2B5EF4-FFF2-40B4-BE49-F238E27FC236}">
              <a16:creationId xmlns:a16="http://schemas.microsoft.com/office/drawing/2014/main" id="{EF0F8214-2ED1-4D4A-AA22-0A78587EC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25400</xdr:colOff>
      <xdr:row>8</xdr:row>
      <xdr:rowOff>88901</xdr:rowOff>
    </xdr:from>
    <xdr:to>
      <xdr:col>5</xdr:col>
      <xdr:colOff>0</xdr:colOff>
      <xdr:row>10</xdr:row>
      <xdr:rowOff>0</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EE39A45E-AA7E-4310-874B-851C175CB93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35000" y="2244272"/>
              <a:ext cx="2445657" cy="67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17688</xdr:colOff>
      <xdr:row>8</xdr:row>
      <xdr:rowOff>28575</xdr:rowOff>
    </xdr:from>
    <xdr:to>
      <xdr:col>11</xdr:col>
      <xdr:colOff>609599</xdr:colOff>
      <xdr:row>10</xdr:row>
      <xdr:rowOff>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FECF013F-88DE-4E4F-8BC7-0F76716AF95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707945" y="2183946"/>
              <a:ext cx="3639911" cy="733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10885</xdr:colOff>
      <xdr:row>11</xdr:row>
      <xdr:rowOff>0</xdr:rowOff>
    </xdr:from>
    <xdr:to>
      <xdr:col>16</xdr:col>
      <xdr:colOff>587829</xdr:colOff>
      <xdr:row>23</xdr:row>
      <xdr:rowOff>185056</xdr:rowOff>
    </xdr:to>
    <xdr:graphicFrame macro="">
      <xdr:nvGraphicFramePr>
        <xdr:cNvPr id="8" name="Chart 7">
          <a:extLst>
            <a:ext uri="{FF2B5EF4-FFF2-40B4-BE49-F238E27FC236}">
              <a16:creationId xmlns:a16="http://schemas.microsoft.com/office/drawing/2014/main" id="{2262CE2B-3AD2-4C61-AEE3-6DD3521C3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38</xdr:row>
      <xdr:rowOff>0</xdr:rowOff>
    </xdr:from>
    <xdr:to>
      <xdr:col>2</xdr:col>
      <xdr:colOff>0</xdr:colOff>
      <xdr:row>39</xdr:row>
      <xdr:rowOff>0</xdr:rowOff>
    </xdr:to>
    <xdr:sp macro="" textlink="">
      <xdr:nvSpPr>
        <xdr:cNvPr id="9" name="TextBox 8">
          <a:extLst>
            <a:ext uri="{FF2B5EF4-FFF2-40B4-BE49-F238E27FC236}">
              <a16:creationId xmlns:a16="http://schemas.microsoft.com/office/drawing/2014/main" id="{B1AFEE75-CEDA-D2E0-AD37-3919177DEE7E}"/>
            </a:ext>
          </a:extLst>
        </xdr:cNvPr>
        <xdr:cNvSpPr txBox="1"/>
      </xdr:nvSpPr>
      <xdr:spPr>
        <a:xfrm>
          <a:off x="609600" y="8098971"/>
          <a:ext cx="642257" cy="1850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0</xdr:colOff>
      <xdr:row>38</xdr:row>
      <xdr:rowOff>0</xdr:rowOff>
    </xdr:from>
    <xdr:to>
      <xdr:col>1</xdr:col>
      <xdr:colOff>45719</xdr:colOff>
      <xdr:row>39</xdr:row>
      <xdr:rowOff>0</xdr:rowOff>
    </xdr:to>
    <xdr:sp macro="" textlink="">
      <xdr:nvSpPr>
        <xdr:cNvPr id="10" name="TextBox 9">
          <a:extLst>
            <a:ext uri="{FF2B5EF4-FFF2-40B4-BE49-F238E27FC236}">
              <a16:creationId xmlns:a16="http://schemas.microsoft.com/office/drawing/2014/main" id="{FB9677D7-DE51-D25F-7903-6C547B865477}"/>
            </a:ext>
          </a:extLst>
        </xdr:cNvPr>
        <xdr:cNvSpPr txBox="1"/>
      </xdr:nvSpPr>
      <xdr:spPr>
        <a:xfrm>
          <a:off x="609600" y="8098971"/>
          <a:ext cx="45719" cy="1850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0</xdr:colOff>
      <xdr:row>38</xdr:row>
      <xdr:rowOff>0</xdr:rowOff>
    </xdr:from>
    <xdr:to>
      <xdr:col>25</xdr:col>
      <xdr:colOff>0</xdr:colOff>
      <xdr:row>48</xdr:row>
      <xdr:rowOff>130628</xdr:rowOff>
    </xdr:to>
    <xdr:sp macro="" textlink="">
      <xdr:nvSpPr>
        <xdr:cNvPr id="11" name="TextBox 10">
          <a:extLst>
            <a:ext uri="{FF2B5EF4-FFF2-40B4-BE49-F238E27FC236}">
              <a16:creationId xmlns:a16="http://schemas.microsoft.com/office/drawing/2014/main" id="{44E3278F-2273-F71D-0464-30E2FBF5E888}"/>
            </a:ext>
          </a:extLst>
        </xdr:cNvPr>
        <xdr:cNvSpPr txBox="1"/>
      </xdr:nvSpPr>
      <xdr:spPr>
        <a:xfrm>
          <a:off x="609600" y="8031480"/>
          <a:ext cx="14660880" cy="1959428"/>
        </a:xfrm>
        <a:prstGeom prst="rect">
          <a:avLst/>
        </a:prstGeom>
        <a:solidFill>
          <a:srgbClr val="002060"/>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chemeClr val="bg1"/>
              </a:solidFill>
            </a:rPr>
            <a:t>KEY INSIGHTS</a:t>
          </a:r>
        </a:p>
        <a:p>
          <a:pPr algn="l"/>
          <a:endParaRPr lang="en-IN" sz="1200" b="1">
            <a:solidFill>
              <a:schemeClr val="bg1"/>
            </a:solidFill>
          </a:endParaRPr>
        </a:p>
        <a:p>
          <a:pPr algn="l"/>
          <a:r>
            <a:rPr lang="en-IN" sz="1200" b="1">
              <a:solidFill>
                <a:schemeClr val="bg1"/>
              </a:solidFill>
            </a:rPr>
            <a:t>• Laptop is the biggest driver: 63% of total sales and 55% of total profit.</a:t>
          </a:r>
        </a:p>
        <a:p>
          <a:pPr algn="l"/>
          <a:r>
            <a:rPr lang="en-IN" sz="1200" b="1">
              <a:solidFill>
                <a:schemeClr val="bg1"/>
              </a:solidFill>
            </a:rPr>
            <a:t>• Electronics contributes 92% of sales, while Accessories adds only 8%.</a:t>
          </a:r>
        </a:p>
        <a:p>
          <a:pPr algn="l"/>
          <a:r>
            <a:rPr lang="en-IN" sz="1200" b="1">
              <a:solidFill>
                <a:schemeClr val="bg1"/>
              </a:solidFill>
            </a:rPr>
            <a:t>• North leads with ₹2,22,800 (31% of sales); West is the weakest at ₹1,01,200 (14%).</a:t>
          </a:r>
        </a:p>
        <a:p>
          <a:pPr algn="l"/>
          <a:r>
            <a:rPr lang="en-IN" sz="1200" b="1">
              <a:solidFill>
                <a:schemeClr val="bg1"/>
              </a:solidFill>
            </a:rPr>
            <a:t>• Accessories have the best margins (Mouse 40%, Keyboard 33%) vs Laptop at 20%, but contribute little revenue.</a:t>
          </a:r>
        </a:p>
        <a:p>
          <a:pPr algn="l"/>
          <a:r>
            <a:rPr lang="en-IN" sz="1200" b="1">
              <a:solidFill>
                <a:schemeClr val="bg1"/>
              </a:solidFill>
            </a:rPr>
            <a:t>• Sales fell about 17% from January (₹2,56,300) to March (₹2,11,900), and orders dropped from 10 to 7.</a:t>
          </a:r>
        </a:p>
        <a:p>
          <a:pPr algn="l"/>
          <a:r>
            <a:rPr lang="en-IN" sz="1200" b="1">
              <a:solidFill>
                <a:schemeClr val="bg1"/>
              </a:solidFill>
            </a:rPr>
            <a:t>• Recommendation: bundle accessories with laptop sales and push growth in the West region.</a:t>
          </a:r>
        </a:p>
        <a:p>
          <a:pPr algn="l"/>
          <a:endParaRPr lang="en-IN" sz="1200" b="1">
            <a:solidFill>
              <a:schemeClr val="bg1"/>
            </a:solidFill>
          </a:endParaRPr>
        </a:p>
        <a:p>
          <a:pPr algn="l"/>
          <a:r>
            <a:rPr lang="en-IN" sz="1100" b="1" i="1">
              <a:solidFill>
                <a:schemeClr val="bg1"/>
              </a:solidFill>
            </a:rPr>
            <a:t>Based on the full dataset (25 orders, Jan-Mar 2026). This box does not change with slicers</a:t>
          </a:r>
          <a:r>
            <a:rPr lang="en-IN" sz="1100" b="1">
              <a:solidFill>
                <a:schemeClr val="bg1"/>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7620</xdr:colOff>
      <xdr:row>0</xdr:row>
      <xdr:rowOff>167640</xdr:rowOff>
    </xdr:from>
    <xdr:to>
      <xdr:col>23</xdr:col>
      <xdr:colOff>472440</xdr:colOff>
      <xdr:row>23</xdr:row>
      <xdr:rowOff>15240</xdr:rowOff>
    </xdr:to>
    <xdr:graphicFrame macro="">
      <xdr:nvGraphicFramePr>
        <xdr:cNvPr id="2" name="Chart 1">
          <a:extLst>
            <a:ext uri="{FF2B5EF4-FFF2-40B4-BE49-F238E27FC236}">
              <a16:creationId xmlns:a16="http://schemas.microsoft.com/office/drawing/2014/main" id="{34B517EE-1210-72B3-644A-9BB3EB25D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7620</xdr:colOff>
      <xdr:row>0</xdr:row>
      <xdr:rowOff>175260</xdr:rowOff>
    </xdr:from>
    <xdr:to>
      <xdr:col>19</xdr:col>
      <xdr:colOff>236220</xdr:colOff>
      <xdr:row>19</xdr:row>
      <xdr:rowOff>160020</xdr:rowOff>
    </xdr:to>
    <xdr:graphicFrame macro="">
      <xdr:nvGraphicFramePr>
        <xdr:cNvPr id="2" name="Chart 1">
          <a:extLst>
            <a:ext uri="{FF2B5EF4-FFF2-40B4-BE49-F238E27FC236}">
              <a16:creationId xmlns:a16="http://schemas.microsoft.com/office/drawing/2014/main" id="{AF5CF058-851B-10B5-9051-F63D03FCF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594360</xdr:colOff>
      <xdr:row>1</xdr:row>
      <xdr:rowOff>15240</xdr:rowOff>
    </xdr:from>
    <xdr:to>
      <xdr:col>17</xdr:col>
      <xdr:colOff>601980</xdr:colOff>
      <xdr:row>21</xdr:row>
      <xdr:rowOff>7620</xdr:rowOff>
    </xdr:to>
    <xdr:graphicFrame macro="">
      <xdr:nvGraphicFramePr>
        <xdr:cNvPr id="2" name="Chart 1">
          <a:extLst>
            <a:ext uri="{FF2B5EF4-FFF2-40B4-BE49-F238E27FC236}">
              <a16:creationId xmlns:a16="http://schemas.microsoft.com/office/drawing/2014/main" id="{F786243C-C515-7332-0B3C-0DD7367DF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15240</xdr:colOff>
      <xdr:row>0</xdr:row>
      <xdr:rowOff>175260</xdr:rowOff>
    </xdr:from>
    <xdr:to>
      <xdr:col>19</xdr:col>
      <xdr:colOff>15240</xdr:colOff>
      <xdr:row>21</xdr:row>
      <xdr:rowOff>30480</xdr:rowOff>
    </xdr:to>
    <xdr:graphicFrame macro="">
      <xdr:nvGraphicFramePr>
        <xdr:cNvPr id="2" name="Chart 1">
          <a:extLst>
            <a:ext uri="{FF2B5EF4-FFF2-40B4-BE49-F238E27FC236}">
              <a16:creationId xmlns:a16="http://schemas.microsoft.com/office/drawing/2014/main" id="{A9419F5E-A159-1327-5294-E5109F8E3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mesh dubey" refreshedDate="46321.862734259259" createdVersion="8" refreshedVersion="8" minRefreshableVersion="3" recordCount="25" xr:uid="{A5585E9C-96BD-4291-8233-A3879CD66EAF}">
  <cacheSource type="worksheet">
    <worksheetSource name="Table1"/>
  </cacheSource>
  <cacheFields count="13">
    <cacheField name="Order_ID" numFmtId="0">
      <sharedItems containsSemiMixedTypes="0" containsString="0" containsNumber="1" containsInteger="1" minValue="1001" maxValue="1025"/>
    </cacheField>
    <cacheField name="Order_Date" numFmtId="14">
      <sharedItems containsSemiMixedTypes="0" containsNonDate="0" containsDate="1" containsString="0" minDate="2026-01-01T00:00:00" maxDate="2026-03-22T00:00:00" count="25">
        <d v="2026-01-01T00:00:00"/>
        <d v="2026-01-03T00:00:00"/>
        <d v="2026-01-05T00:00:00"/>
        <d v="2026-01-08T00:00:00"/>
        <d v="2026-01-10T00:00:00"/>
        <d v="2026-01-12T00:00:00"/>
        <d v="2026-01-15T00:00:00"/>
        <d v="2026-01-18T00:00:00"/>
        <d v="2026-01-20T00:00:00"/>
        <d v="2026-01-23T00:00:00"/>
        <d v="2026-02-02T00:00:00"/>
        <d v="2026-02-05T00:00:00"/>
        <d v="2026-02-08T00:00:00"/>
        <d v="2026-02-11T00:00:00"/>
        <d v="2026-02-14T00:00:00"/>
        <d v="2026-02-17T00:00:00"/>
        <d v="2026-02-20T00:00:00"/>
        <d v="2026-02-23T00:00:00"/>
        <d v="2026-03-03T00:00:00"/>
        <d v="2026-03-06T00:00:00"/>
        <d v="2026-03-09T00:00:00"/>
        <d v="2026-03-12T00:00:00"/>
        <d v="2026-03-15T00:00:00"/>
        <d v="2026-03-18T00:00:00"/>
        <d v="2026-03-21T00:00:00"/>
      </sharedItems>
      <fieldGroup par="12"/>
    </cacheField>
    <cacheField name="Region" numFmtId="0">
      <sharedItems count="4">
        <s v="North"/>
        <s v="South"/>
        <s v="East"/>
        <s v="West"/>
      </sharedItems>
    </cacheField>
    <cacheField name="Product" numFmtId="0">
      <sharedItems count="4">
        <s v="Laptop"/>
        <s v="Mouse"/>
        <s v="Keyboard"/>
        <s v="Monitor"/>
      </sharedItems>
    </cacheField>
    <cacheField name="Category" numFmtId="0">
      <sharedItems count="2">
        <s v="Electronics"/>
        <s v="Accessories"/>
      </sharedItems>
    </cacheField>
    <cacheField name="Quantity" numFmtId="0">
      <sharedItems containsSemiMixedTypes="0" containsString="0" containsNumber="1" containsInteger="1" minValue="1" maxValue="12"/>
    </cacheField>
    <cacheField name="Unit_Price" numFmtId="0">
      <sharedItems containsSemiMixedTypes="0" containsString="0" containsNumber="1" containsInteger="1" minValue="500" maxValue="50000"/>
    </cacheField>
    <cacheField name="Unit_Cost" numFmtId="0">
      <sharedItems containsSemiMixedTypes="0" containsString="0" containsNumber="1" containsInteger="1" minValue="300" maxValue="40000"/>
    </cacheField>
    <cacheField name="Total_Sales" numFmtId="0">
      <sharedItems containsSemiMixedTypes="0" containsString="0" containsNumber="1" containsInteger="1" minValue="2500" maxValue="100000" count="17">
        <n v="100000"/>
        <n v="2500"/>
        <n v="3600"/>
        <n v="24000"/>
        <n v="5000"/>
        <n v="50000"/>
        <n v="36000"/>
        <n v="7200"/>
        <n v="4000"/>
        <n v="3500"/>
        <n v="4800"/>
        <n v="6000"/>
        <n v="48000"/>
        <n v="4500"/>
        <n v="8400"/>
        <n v="12000"/>
        <n v="3000"/>
      </sharedItems>
    </cacheField>
    <cacheField name="Total_Cost" numFmtId="0">
      <sharedItems containsSemiMixedTypes="0" containsString="0" containsNumber="1" containsInteger="1" minValue="1500" maxValue="80000"/>
    </cacheField>
    <cacheField name="Total_Profit" numFmtId="0">
      <sharedItems containsSemiMixedTypes="0" containsString="0" containsNumber="1" containsInteger="1" minValue="1000" maxValue="20000"/>
    </cacheField>
    <cacheField name="Days (Order_Date)" numFmtId="0" databaseField="0">
      <fieldGroup base="1">
        <rangePr groupBy="days" startDate="2026-01-01T00:00:00" endDate="2026-03-22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03-2026"/>
        </groupItems>
      </fieldGroup>
    </cacheField>
    <cacheField name="Months (Order_Date)" numFmtId="0" databaseField="0">
      <fieldGroup base="1">
        <rangePr groupBy="months" startDate="2026-01-01T00:00:00" endDate="2026-03-22T00:00:00"/>
        <groupItems count="14">
          <s v="&lt;01-01-2026"/>
          <s v="Jan"/>
          <s v="Feb"/>
          <s v="Mar"/>
          <s v="Apr"/>
          <s v="May"/>
          <s v="Jun"/>
          <s v="Jul"/>
          <s v="Aug"/>
          <s v="Sep"/>
          <s v="Oct"/>
          <s v="Nov"/>
          <s v="Dec"/>
          <s v="&gt;22-03-2026"/>
        </groupItems>
      </fieldGroup>
    </cacheField>
  </cacheFields>
  <extLst>
    <ext xmlns:x14="http://schemas.microsoft.com/office/spreadsheetml/2009/9/main" uri="{725AE2AE-9491-48be-B2B4-4EB974FC3084}">
      <x14:pivotCacheDefinition pivotCacheId="2066630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001"/>
    <x v="0"/>
    <x v="0"/>
    <x v="0"/>
    <x v="0"/>
    <n v="2"/>
    <n v="50000"/>
    <n v="40000"/>
    <x v="0"/>
    <n v="80000"/>
    <n v="20000"/>
  </r>
  <r>
    <n v="1002"/>
    <x v="1"/>
    <x v="1"/>
    <x v="1"/>
    <x v="1"/>
    <n v="5"/>
    <n v="500"/>
    <n v="300"/>
    <x v="1"/>
    <n v="1500"/>
    <n v="1000"/>
  </r>
  <r>
    <n v="1003"/>
    <x v="2"/>
    <x v="2"/>
    <x v="2"/>
    <x v="1"/>
    <n v="3"/>
    <n v="1200"/>
    <n v="800"/>
    <x v="2"/>
    <n v="2400"/>
    <n v="1200"/>
  </r>
  <r>
    <n v="1004"/>
    <x v="3"/>
    <x v="3"/>
    <x v="3"/>
    <x v="0"/>
    <n v="2"/>
    <n v="12000"/>
    <n v="9000"/>
    <x v="3"/>
    <n v="18000"/>
    <n v="6000"/>
  </r>
  <r>
    <n v="1005"/>
    <x v="4"/>
    <x v="0"/>
    <x v="1"/>
    <x v="1"/>
    <n v="10"/>
    <n v="500"/>
    <n v="300"/>
    <x v="4"/>
    <n v="3000"/>
    <n v="2000"/>
  </r>
  <r>
    <n v="1006"/>
    <x v="5"/>
    <x v="1"/>
    <x v="0"/>
    <x v="0"/>
    <n v="1"/>
    <n v="50000"/>
    <n v="40000"/>
    <x v="5"/>
    <n v="40000"/>
    <n v="10000"/>
  </r>
  <r>
    <n v="1007"/>
    <x v="6"/>
    <x v="2"/>
    <x v="3"/>
    <x v="0"/>
    <n v="3"/>
    <n v="12000"/>
    <n v="9000"/>
    <x v="6"/>
    <n v="27000"/>
    <n v="9000"/>
  </r>
  <r>
    <n v="1008"/>
    <x v="7"/>
    <x v="3"/>
    <x v="2"/>
    <x v="1"/>
    <n v="6"/>
    <n v="1200"/>
    <n v="800"/>
    <x v="7"/>
    <n v="4800"/>
    <n v="2400"/>
  </r>
  <r>
    <n v="1009"/>
    <x v="8"/>
    <x v="0"/>
    <x v="3"/>
    <x v="0"/>
    <n v="2"/>
    <n v="12000"/>
    <n v="9000"/>
    <x v="3"/>
    <n v="18000"/>
    <n v="6000"/>
  </r>
  <r>
    <n v="1010"/>
    <x v="9"/>
    <x v="1"/>
    <x v="1"/>
    <x v="1"/>
    <n v="8"/>
    <n v="500"/>
    <n v="300"/>
    <x v="8"/>
    <n v="2400"/>
    <n v="1600"/>
  </r>
  <r>
    <n v="1011"/>
    <x v="10"/>
    <x v="2"/>
    <x v="0"/>
    <x v="0"/>
    <n v="2"/>
    <n v="50000"/>
    <n v="40000"/>
    <x v="0"/>
    <n v="80000"/>
    <n v="20000"/>
  </r>
  <r>
    <n v="1012"/>
    <x v="11"/>
    <x v="3"/>
    <x v="1"/>
    <x v="1"/>
    <n v="7"/>
    <n v="500"/>
    <n v="300"/>
    <x v="9"/>
    <n v="2100"/>
    <n v="1400"/>
  </r>
  <r>
    <n v="1013"/>
    <x v="12"/>
    <x v="0"/>
    <x v="2"/>
    <x v="1"/>
    <n v="4"/>
    <n v="1200"/>
    <n v="800"/>
    <x v="10"/>
    <n v="3200"/>
    <n v="1600"/>
  </r>
  <r>
    <n v="1014"/>
    <x v="13"/>
    <x v="1"/>
    <x v="3"/>
    <x v="0"/>
    <n v="2"/>
    <n v="12000"/>
    <n v="9000"/>
    <x v="3"/>
    <n v="18000"/>
    <n v="6000"/>
  </r>
  <r>
    <n v="1015"/>
    <x v="14"/>
    <x v="2"/>
    <x v="1"/>
    <x v="1"/>
    <n v="12"/>
    <n v="500"/>
    <n v="300"/>
    <x v="11"/>
    <n v="3600"/>
    <n v="2400"/>
  </r>
  <r>
    <n v="1016"/>
    <x v="15"/>
    <x v="3"/>
    <x v="0"/>
    <x v="0"/>
    <n v="1"/>
    <n v="50000"/>
    <n v="40000"/>
    <x v="5"/>
    <n v="40000"/>
    <n v="10000"/>
  </r>
  <r>
    <n v="1017"/>
    <x v="16"/>
    <x v="0"/>
    <x v="0"/>
    <x v="0"/>
    <n v="1"/>
    <n v="50000"/>
    <n v="40000"/>
    <x v="5"/>
    <n v="40000"/>
    <n v="10000"/>
  </r>
  <r>
    <n v="1018"/>
    <x v="17"/>
    <x v="1"/>
    <x v="2"/>
    <x v="1"/>
    <n v="5"/>
    <n v="1200"/>
    <n v="800"/>
    <x v="11"/>
    <n v="4000"/>
    <n v="2000"/>
  </r>
  <r>
    <n v="1019"/>
    <x v="18"/>
    <x v="2"/>
    <x v="3"/>
    <x v="0"/>
    <n v="4"/>
    <n v="12000"/>
    <n v="9000"/>
    <x v="12"/>
    <n v="36000"/>
    <n v="12000"/>
  </r>
  <r>
    <n v="1020"/>
    <x v="19"/>
    <x v="3"/>
    <x v="1"/>
    <x v="1"/>
    <n v="9"/>
    <n v="500"/>
    <n v="300"/>
    <x v="13"/>
    <n v="2700"/>
    <n v="1800"/>
  </r>
  <r>
    <n v="1021"/>
    <x v="20"/>
    <x v="0"/>
    <x v="3"/>
    <x v="0"/>
    <n v="3"/>
    <n v="12000"/>
    <n v="9000"/>
    <x v="6"/>
    <n v="27000"/>
    <n v="9000"/>
  </r>
  <r>
    <n v="1022"/>
    <x v="21"/>
    <x v="1"/>
    <x v="0"/>
    <x v="0"/>
    <n v="2"/>
    <n v="50000"/>
    <n v="40000"/>
    <x v="0"/>
    <n v="80000"/>
    <n v="20000"/>
  </r>
  <r>
    <n v="1023"/>
    <x v="22"/>
    <x v="2"/>
    <x v="2"/>
    <x v="1"/>
    <n v="7"/>
    <n v="1200"/>
    <n v="800"/>
    <x v="14"/>
    <n v="5600"/>
    <n v="2800"/>
  </r>
  <r>
    <n v="1024"/>
    <x v="23"/>
    <x v="3"/>
    <x v="3"/>
    <x v="0"/>
    <n v="1"/>
    <n v="12000"/>
    <n v="9000"/>
    <x v="15"/>
    <n v="9000"/>
    <n v="3000"/>
  </r>
  <r>
    <n v="1025"/>
    <x v="24"/>
    <x v="0"/>
    <x v="1"/>
    <x v="1"/>
    <n v="6"/>
    <n v="500"/>
    <n v="300"/>
    <x v="16"/>
    <n v="1800"/>
    <n v="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310A0C-6D5F-4E1A-BA33-41781E8C1B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5">
        <item x="2"/>
        <item x="0"/>
        <item x="1"/>
        <item x="3"/>
        <item t="default"/>
      </items>
    </pivotField>
    <pivotField showAll="0"/>
    <pivotField showAll="0">
      <items count="3">
        <item x="1"/>
        <item x="0"/>
        <item t="default"/>
      </items>
    </pivotField>
    <pivotField dataField="1" showAll="0"/>
    <pivotField showAll="0"/>
    <pivotField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Total_Sales" fld="8" baseField="0" baseItem="0"/>
    <dataField name="Sum of Total_Profit" fld="10" baseField="0" baseItem="0"/>
    <dataField name="Sum of Quantity" fld="5" baseField="0" baseItem="0"/>
    <dataField name="Count of Order_ID" fld="0" subtotal="count"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CEA0BE-7C54-4A79-9443-3865055D7C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7" firstHeaderRow="0" firstDataRow="1" firstDataCol="1"/>
  <pivotFields count="13">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5">
        <item x="2"/>
        <item x="0"/>
        <item x="1"/>
        <item x="3"/>
        <item t="default"/>
      </items>
    </pivotField>
    <pivotField showAll="0"/>
    <pivotField showAll="0">
      <items count="3">
        <item x="1"/>
        <item x="0"/>
        <item t="default"/>
      </items>
    </pivotField>
    <pivotField showAll="0"/>
    <pivotField showAll="0"/>
    <pivotField showAll="0"/>
    <pivotField dataField="1"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12"/>
  </rowFields>
  <rowItems count="4">
    <i>
      <x v="1"/>
    </i>
    <i>
      <x v="2"/>
    </i>
    <i>
      <x v="3"/>
    </i>
    <i t="grand">
      <x/>
    </i>
  </rowItems>
  <colFields count="1">
    <field x="-2"/>
  </colFields>
  <colItems count="2">
    <i>
      <x/>
    </i>
    <i i="1">
      <x v="1"/>
    </i>
  </colItems>
  <dataFields count="2">
    <dataField name="Sales" fld="8" baseField="12" baseItem="1"/>
    <dataField name="Profit" fld="10" baseField="12" baseItem="1"/>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A3D64E-1F1A-4A80-A39E-6E4E17349CA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 firstHeaderRow="1" firstDataRow="1" firstDataCol="1"/>
  <pivotFields count="13">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5">
        <item x="2"/>
        <item x="0"/>
        <item x="1"/>
        <item x="3"/>
        <item t="default"/>
      </items>
    </pivotField>
    <pivotField showAll="0">
      <items count="5">
        <item x="2"/>
        <item x="0"/>
        <item x="3"/>
        <item x="1"/>
        <item t="default"/>
      </items>
    </pivotField>
    <pivotField axis="axisRow" showAll="0">
      <items count="3">
        <item x="1"/>
        <item x="0"/>
        <item t="default"/>
      </items>
    </pivotField>
    <pivotField showAll="0"/>
    <pivotField showAll="0"/>
    <pivotField showAll="0"/>
    <pivotField dataField="1" showAll="0">
      <items count="18">
        <item x="1"/>
        <item x="16"/>
        <item x="9"/>
        <item x="2"/>
        <item x="8"/>
        <item x="13"/>
        <item x="10"/>
        <item x="4"/>
        <item x="11"/>
        <item x="7"/>
        <item x="14"/>
        <item x="15"/>
        <item x="3"/>
        <item x="6"/>
        <item x="12"/>
        <item x="5"/>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Total_Sales" fld="8" baseField="0" baseItem="0"/>
  </dataField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65CE00-4D9F-43A6-9BE1-977B4E6948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3">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5">
        <item x="2"/>
        <item x="0"/>
        <item x="1"/>
        <item x="3"/>
        <item t="default"/>
      </items>
    </pivotField>
    <pivotField axis="axisRow" showAll="0">
      <items count="5">
        <item x="2"/>
        <item x="0"/>
        <item x="3"/>
        <item x="1"/>
        <item t="default"/>
      </items>
    </pivotField>
    <pivotField showAll="0">
      <items count="3">
        <item x="1"/>
        <item x="0"/>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_Sales" fld="8" baseField="0" baseItem="0"/>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B995F7-2BE0-4FFC-B1BE-3004B470757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3">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5">
        <item x="2"/>
        <item x="0"/>
        <item x="1"/>
        <item x="3"/>
        <item t="default"/>
      </items>
    </pivotField>
    <pivotField axis="axisRow" showAll="0">
      <items count="5">
        <item x="2"/>
        <item x="0"/>
        <item x="3"/>
        <item x="1"/>
        <item t="default"/>
      </items>
    </pivotField>
    <pivotField showAll="0">
      <items count="3">
        <item x="1"/>
        <item x="0"/>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_Profit" fld="1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C41CF0-E78D-43EE-BFCD-1825664886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3">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3"/>
    </i>
    <i>
      <x v="2"/>
    </i>
    <i>
      <x/>
    </i>
    <i>
      <x v="1"/>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2057B5-7333-41E7-A851-0ECAA176A803}" sourceName="Region">
  <pivotTables>
    <pivotTable tabId="3" name="PivotTable4"/>
    <pivotTable tabId="9" name="PivotTable2"/>
    <pivotTable tabId="2" name="PivotTable2"/>
    <pivotTable tabId="4" name="PivotTable5"/>
    <pivotTable tabId="6" name="PivotTable7"/>
    <pivotTable tabId="8" name="PivotTable1"/>
  </pivotTables>
  <data>
    <tabular pivotCacheId="206663047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C5B49E-AA48-423B-B320-C59684893EFE}" sourceName="Category">
  <pivotTables>
    <pivotTable tabId="3" name="PivotTable4"/>
    <pivotTable tabId="9" name="PivotTable2"/>
    <pivotTable tabId="2" name="PivotTable2"/>
    <pivotTable tabId="4" name="PivotTable5"/>
    <pivotTable tabId="6" name="PivotTable7"/>
    <pivotTable tabId="8" name="PivotTable1"/>
  </pivotTables>
  <data>
    <tabular pivotCacheId="206663047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B372928-E2C1-4D51-9F64-6E282DBA50A6}" cache="Slicer_Region" caption="Region" columnCount="4" rowHeight="234950"/>
  <slicer name="Category 1" xr10:uid="{E3B467BC-5592-4051-AD9A-2BE3485C9136}" cache="Slicer_Category" caption="Category"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B8B739-D369-4713-9425-B9EC49DE7339}" name="Table1" displayName="Table1" ref="A1:K26" totalsRowShown="0" headerRowDxfId="12" dataDxfId="11">
  <autoFilter ref="A1:K26" xr:uid="{B2B8B739-D369-4713-9425-B9EC49DE7339}"/>
  <tableColumns count="11">
    <tableColumn id="1" xr3:uid="{2ED7020E-CE2E-4753-A714-23ED2952E998}" name="Order_ID" dataDxfId="10"/>
    <tableColumn id="2" xr3:uid="{319B98A6-B73F-40F6-B724-DF89247940C4}" name="Order_Date" dataDxfId="9"/>
    <tableColumn id="3" xr3:uid="{8D15F4ED-77DB-42B4-86BD-9AF58069EAB8}" name="Region" dataDxfId="8"/>
    <tableColumn id="4" xr3:uid="{194FAFD8-D383-4478-92FF-6102F75FEFF4}" name="Product" dataDxfId="7"/>
    <tableColumn id="5" xr3:uid="{E6AF31EE-4913-4181-BD55-15157D46728A}" name="Category" dataDxfId="6"/>
    <tableColumn id="6" xr3:uid="{B99792F6-7B36-4DF9-B589-17978B6FB703}" name="Quantity" dataDxfId="5"/>
    <tableColumn id="7" xr3:uid="{81645A8A-8742-49B0-8D26-EF2A483C866A}" name="Unit_Price" dataDxfId="4"/>
    <tableColumn id="8" xr3:uid="{1E2088A3-6473-4A4F-8889-AE94B1D8A8B5}" name="Unit_Cost" dataDxfId="3"/>
    <tableColumn id="9" xr3:uid="{F1B49A41-9732-4489-B66D-27DBDE87B50B}" name="Total_Sales" dataDxfId="2">
      <calculatedColumnFormula>Table1[[#This Row],[Quantity]]*Table1[[#This Row],[Unit_Price]]</calculatedColumnFormula>
    </tableColumn>
    <tableColumn id="10" xr3:uid="{53C7E70B-F741-4CBA-A788-0939C182EA15}" name="Total_Cost" dataDxfId="1">
      <calculatedColumnFormula>Table1[[#This Row],[Quantity]]*Table1[[#This Row],[Unit_Cost]]</calculatedColumnFormula>
    </tableColumn>
    <tableColumn id="11" xr3:uid="{F54619CD-E955-4B94-AC5B-FDE92CE724CA}" name="Total_Profit" dataDxfId="0">
      <calculatedColumnFormula>Table1[[#This Row],[Total_Sales]]-Table1[[#This Row],[Total_Cost]]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2622C-99F7-4A32-9416-AFA60250F3F8}">
  <sheetPr>
    <pageSetUpPr autoPageBreaks="0"/>
  </sheetPr>
  <dimension ref="A2:AC10"/>
  <sheetViews>
    <sheetView showGridLines="0" showRowColHeaders="0" tabSelected="1" zoomScale="70" zoomScaleNormal="70" workbookViewId="0">
      <selection activeCell="AH2" sqref="AH2"/>
    </sheetView>
  </sheetViews>
  <sheetFormatPr defaultRowHeight="14.4" x14ac:dyDescent="0.3"/>
  <cols>
    <col min="2" max="2" width="9.33203125" customWidth="1"/>
  </cols>
  <sheetData>
    <row r="2" spans="1:29" ht="31.2" x14ac:dyDescent="0.6">
      <c r="A2" s="6"/>
      <c r="B2" s="9" t="s">
        <v>30</v>
      </c>
      <c r="C2" s="9"/>
      <c r="D2" s="9"/>
      <c r="E2" s="9"/>
      <c r="F2" s="9"/>
      <c r="G2" s="9"/>
      <c r="H2" s="9"/>
      <c r="I2" s="9"/>
      <c r="J2" s="9"/>
      <c r="K2" s="9"/>
      <c r="L2" s="9"/>
      <c r="M2" s="9"/>
      <c r="N2" s="9"/>
      <c r="O2" s="9"/>
      <c r="P2" s="9"/>
      <c r="Q2" s="9"/>
      <c r="R2" s="9"/>
      <c r="S2" s="9"/>
      <c r="T2" s="9"/>
      <c r="U2" s="9"/>
      <c r="V2" s="9"/>
      <c r="W2" s="9"/>
      <c r="X2" s="9"/>
      <c r="Y2" s="9"/>
      <c r="Z2" s="6"/>
      <c r="AA2" s="6"/>
      <c r="AB2" s="6"/>
      <c r="AC2" s="6"/>
    </row>
    <row r="4" spans="1:29" ht="28.8" x14ac:dyDescent="0.55000000000000004">
      <c r="B4" s="7" t="s">
        <v>25</v>
      </c>
      <c r="C4" s="10"/>
      <c r="D4" s="10"/>
      <c r="E4" s="10"/>
      <c r="G4" s="7" t="s">
        <v>29</v>
      </c>
      <c r="H4" s="7"/>
      <c r="I4" s="7"/>
      <c r="J4" s="7"/>
      <c r="L4" s="7" t="s">
        <v>27</v>
      </c>
      <c r="M4" s="7"/>
      <c r="N4" s="7"/>
      <c r="O4" s="7"/>
      <c r="Q4" s="7" t="s">
        <v>28</v>
      </c>
      <c r="R4" s="7"/>
      <c r="S4" s="7"/>
      <c r="T4" s="7"/>
      <c r="V4" s="7" t="s">
        <v>26</v>
      </c>
      <c r="W4" s="7"/>
      <c r="X4" s="7"/>
      <c r="Y4" s="7"/>
    </row>
    <row r="5" spans="1:29" x14ac:dyDescent="0.3">
      <c r="B5" s="5"/>
      <c r="C5" s="5"/>
      <c r="D5" s="5"/>
      <c r="E5" s="5"/>
      <c r="G5" s="5"/>
      <c r="H5" s="5"/>
      <c r="I5" s="5"/>
      <c r="J5" s="5"/>
      <c r="L5" s="5"/>
      <c r="M5" s="5"/>
      <c r="N5" s="5"/>
      <c r="O5" s="5"/>
      <c r="Q5" s="5"/>
      <c r="R5" s="5"/>
      <c r="S5" s="5"/>
      <c r="T5" s="5"/>
      <c r="V5" s="5"/>
      <c r="W5" s="5"/>
      <c r="X5" s="5"/>
      <c r="Y5" s="5"/>
    </row>
    <row r="6" spans="1:29" ht="36.6" x14ac:dyDescent="0.7">
      <c r="B6" s="11">
        <f>GETPIVOTDATA("Sum of Total_Sales",Pivot_KPI!$A$3)</f>
        <v>712500</v>
      </c>
      <c r="C6" s="11"/>
      <c r="D6" s="11"/>
      <c r="E6" s="11"/>
      <c r="G6" s="11" cm="1">
        <f t="array" ref="G6">SUM(Data!I2:I26/COUNTA(Data!A2:A26))</f>
        <v>28500</v>
      </c>
      <c r="H6" s="11"/>
      <c r="I6" s="11"/>
      <c r="J6" s="11"/>
      <c r="L6" s="11">
        <f>GETPIVOTDATA("Sum of Total_Profit",Pivot_KPI!$A$3)</f>
        <v>162400</v>
      </c>
      <c r="M6" s="11"/>
      <c r="N6" s="11"/>
      <c r="O6" s="11"/>
      <c r="Q6" s="8">
        <f>GETPIVOTDATA("Sum of Quantity",Pivot_KPI!$A$3)</f>
        <v>108</v>
      </c>
      <c r="R6" s="8"/>
      <c r="S6" s="8"/>
      <c r="T6" s="8"/>
      <c r="V6" s="8">
        <f>GETPIVOTDATA("Count of Order_ID",Pivot_KPI!$A$3)</f>
        <v>25</v>
      </c>
      <c r="W6" s="8"/>
      <c r="X6" s="8"/>
      <c r="Y6" s="8"/>
    </row>
    <row r="7" spans="1:29" x14ac:dyDescent="0.3">
      <c r="B7" s="5"/>
      <c r="C7" s="5"/>
      <c r="D7" s="5"/>
      <c r="E7" s="5"/>
      <c r="G7" s="5"/>
      <c r="H7" s="5"/>
      <c r="I7" s="5"/>
      <c r="J7" s="5"/>
      <c r="L7" s="5"/>
      <c r="M7" s="5"/>
      <c r="N7" s="5"/>
      <c r="O7" s="5"/>
      <c r="Q7" s="5"/>
      <c r="R7" s="5"/>
      <c r="S7" s="5"/>
      <c r="T7" s="5"/>
      <c r="V7" s="5"/>
      <c r="W7" s="5"/>
      <c r="X7" s="5"/>
      <c r="Y7" s="5"/>
    </row>
    <row r="8" spans="1:29" x14ac:dyDescent="0.3">
      <c r="B8" s="5"/>
      <c r="C8" s="5"/>
      <c r="D8" s="5"/>
      <c r="E8" s="5"/>
      <c r="G8" s="5"/>
      <c r="H8" s="5"/>
      <c r="I8" s="5"/>
      <c r="J8" s="5"/>
      <c r="L8" s="5"/>
      <c r="M8" s="5"/>
      <c r="N8" s="5"/>
      <c r="O8" s="5"/>
      <c r="Q8" s="5"/>
      <c r="R8" s="5"/>
      <c r="S8" s="5"/>
      <c r="T8" s="5"/>
      <c r="V8" s="5"/>
      <c r="W8" s="5"/>
      <c r="X8" s="5"/>
      <c r="Y8" s="5"/>
    </row>
    <row r="9" spans="1:29" ht="30" customHeight="1" x14ac:dyDescent="0.3"/>
    <row r="10" spans="1:29" ht="30" customHeight="1" x14ac:dyDescent="0.3"/>
  </sheetData>
  <mergeCells count="11">
    <mergeCell ref="V4:Y4"/>
    <mergeCell ref="V6:Y6"/>
    <mergeCell ref="B2:Y2"/>
    <mergeCell ref="Q4:T4"/>
    <mergeCell ref="Q6:T6"/>
    <mergeCell ref="B4:E4"/>
    <mergeCell ref="B6:E6"/>
    <mergeCell ref="G4:J4"/>
    <mergeCell ref="G6:J6"/>
    <mergeCell ref="L4:O4"/>
    <mergeCell ref="L6: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DF5C-5808-46E2-B119-8C81C24CE01E}">
  <dimension ref="A1:K26"/>
  <sheetViews>
    <sheetView zoomScaleNormal="100" workbookViewId="0">
      <selection activeCell="N12" sqref="N12"/>
    </sheetView>
  </sheetViews>
  <sheetFormatPr defaultRowHeight="14.4" x14ac:dyDescent="0.3"/>
  <cols>
    <col min="1" max="1" width="13" bestFit="1" customWidth="1"/>
    <col min="2" max="2" width="15.109375" bestFit="1" customWidth="1"/>
    <col min="3" max="3" width="13" customWidth="1"/>
    <col min="4" max="4" width="12.109375" bestFit="1" customWidth="1"/>
    <col min="5" max="5" width="13" bestFit="1" customWidth="1"/>
    <col min="6" max="6" width="12.77734375" bestFit="1" customWidth="1"/>
    <col min="7" max="7" width="14.109375" bestFit="1" customWidth="1"/>
    <col min="8" max="8" width="15.6640625" customWidth="1"/>
    <col min="9" max="9" width="14.88671875" bestFit="1" customWidth="1"/>
    <col min="10" max="10" width="14.33203125" bestFit="1" customWidth="1"/>
    <col min="11" max="11" width="15.33203125" bestFit="1" customWidth="1"/>
  </cols>
  <sheetData>
    <row r="1" spans="1:11" x14ac:dyDescent="0.3">
      <c r="A1" s="1" t="s">
        <v>0</v>
      </c>
      <c r="B1" s="1" t="s">
        <v>1</v>
      </c>
      <c r="C1" s="1" t="s">
        <v>2</v>
      </c>
      <c r="D1" s="1" t="s">
        <v>3</v>
      </c>
      <c r="E1" s="1" t="s">
        <v>4</v>
      </c>
      <c r="F1" s="1" t="s">
        <v>5</v>
      </c>
      <c r="G1" s="1" t="s">
        <v>6</v>
      </c>
      <c r="H1" s="1" t="s">
        <v>7</v>
      </c>
      <c r="I1" s="1" t="s">
        <v>18</v>
      </c>
      <c r="J1" s="1" t="s">
        <v>19</v>
      </c>
      <c r="K1" s="1" t="s">
        <v>20</v>
      </c>
    </row>
    <row r="2" spans="1:11" x14ac:dyDescent="0.3">
      <c r="A2" s="1">
        <v>1001</v>
      </c>
      <c r="B2" s="2">
        <v>46023</v>
      </c>
      <c r="C2" s="1" t="s">
        <v>8</v>
      </c>
      <c r="D2" s="1" t="s">
        <v>9</v>
      </c>
      <c r="E2" s="1" t="s">
        <v>10</v>
      </c>
      <c r="F2" s="1">
        <v>2</v>
      </c>
      <c r="G2" s="1">
        <v>50000</v>
      </c>
      <c r="H2" s="1">
        <v>40000</v>
      </c>
      <c r="I2" s="1">
        <f>Table1[[#This Row],[Quantity]]*Table1[[#This Row],[Unit_Price]]</f>
        <v>100000</v>
      </c>
      <c r="J2" s="1">
        <f>Table1[[#This Row],[Quantity]]*Table1[[#This Row],[Unit_Cost]]</f>
        <v>80000</v>
      </c>
      <c r="K2" s="1">
        <f>Table1[[#This Row],[Total_Sales]]-Table1[[#This Row],[Total_Cost]]</f>
        <v>20000</v>
      </c>
    </row>
    <row r="3" spans="1:11" x14ac:dyDescent="0.3">
      <c r="A3" s="1">
        <v>1002</v>
      </c>
      <c r="B3" s="2">
        <v>46025</v>
      </c>
      <c r="C3" s="1" t="s">
        <v>11</v>
      </c>
      <c r="D3" s="1" t="s">
        <v>12</v>
      </c>
      <c r="E3" s="1" t="s">
        <v>13</v>
      </c>
      <c r="F3" s="1">
        <v>5</v>
      </c>
      <c r="G3" s="1">
        <v>500</v>
      </c>
      <c r="H3" s="1">
        <v>300</v>
      </c>
      <c r="I3" s="1">
        <f>Table1[[#This Row],[Quantity]]*Table1[[#This Row],[Unit_Price]]</f>
        <v>2500</v>
      </c>
      <c r="J3" s="1">
        <f>Table1[[#This Row],[Quantity]]*Table1[[#This Row],[Unit_Cost]]</f>
        <v>1500</v>
      </c>
      <c r="K3" s="1">
        <f>Table1[[#This Row],[Total_Sales]]-Table1[[#This Row],[Total_Cost]]</f>
        <v>1000</v>
      </c>
    </row>
    <row r="4" spans="1:11" x14ac:dyDescent="0.3">
      <c r="A4" s="1">
        <v>1003</v>
      </c>
      <c r="B4" s="2">
        <v>46027</v>
      </c>
      <c r="C4" s="1" t="s">
        <v>14</v>
      </c>
      <c r="D4" s="1" t="s">
        <v>15</v>
      </c>
      <c r="E4" s="1" t="s">
        <v>13</v>
      </c>
      <c r="F4" s="1">
        <v>3</v>
      </c>
      <c r="G4" s="1">
        <v>1200</v>
      </c>
      <c r="H4" s="1">
        <v>800</v>
      </c>
      <c r="I4" s="1">
        <f>Table1[[#This Row],[Quantity]]*Table1[[#This Row],[Unit_Price]]</f>
        <v>3600</v>
      </c>
      <c r="J4" s="1">
        <f>Table1[[#This Row],[Quantity]]*Table1[[#This Row],[Unit_Cost]]</f>
        <v>2400</v>
      </c>
      <c r="K4" s="1">
        <f>Table1[[#This Row],[Total_Sales]]-Table1[[#This Row],[Total_Cost]]</f>
        <v>1200</v>
      </c>
    </row>
    <row r="5" spans="1:11" x14ac:dyDescent="0.3">
      <c r="A5" s="1">
        <v>1004</v>
      </c>
      <c r="B5" s="2">
        <v>46030</v>
      </c>
      <c r="C5" s="1" t="s">
        <v>16</v>
      </c>
      <c r="D5" s="1" t="s">
        <v>17</v>
      </c>
      <c r="E5" s="1" t="s">
        <v>10</v>
      </c>
      <c r="F5" s="1">
        <v>2</v>
      </c>
      <c r="G5" s="1">
        <v>12000</v>
      </c>
      <c r="H5" s="1">
        <v>9000</v>
      </c>
      <c r="I5" s="1">
        <f>Table1[[#This Row],[Quantity]]*Table1[[#This Row],[Unit_Price]]</f>
        <v>24000</v>
      </c>
      <c r="J5" s="1">
        <f>Table1[[#This Row],[Quantity]]*Table1[[#This Row],[Unit_Cost]]</f>
        <v>18000</v>
      </c>
      <c r="K5" s="1">
        <f>Table1[[#This Row],[Total_Sales]]-Table1[[#This Row],[Total_Cost]]</f>
        <v>6000</v>
      </c>
    </row>
    <row r="6" spans="1:11" x14ac:dyDescent="0.3">
      <c r="A6" s="1">
        <v>1005</v>
      </c>
      <c r="B6" s="2">
        <v>46032</v>
      </c>
      <c r="C6" s="1" t="s">
        <v>8</v>
      </c>
      <c r="D6" s="1" t="s">
        <v>12</v>
      </c>
      <c r="E6" s="1" t="s">
        <v>13</v>
      </c>
      <c r="F6" s="1">
        <v>10</v>
      </c>
      <c r="G6" s="1">
        <v>500</v>
      </c>
      <c r="H6" s="1">
        <v>300</v>
      </c>
      <c r="I6" s="1">
        <f>Table1[[#This Row],[Quantity]]*Table1[[#This Row],[Unit_Price]]</f>
        <v>5000</v>
      </c>
      <c r="J6" s="1">
        <f>Table1[[#This Row],[Quantity]]*Table1[[#This Row],[Unit_Cost]]</f>
        <v>3000</v>
      </c>
      <c r="K6" s="1">
        <f>Table1[[#This Row],[Total_Sales]]-Table1[[#This Row],[Total_Cost]]</f>
        <v>2000</v>
      </c>
    </row>
    <row r="7" spans="1:11" x14ac:dyDescent="0.3">
      <c r="A7" s="1">
        <v>1006</v>
      </c>
      <c r="B7" s="2">
        <v>46034</v>
      </c>
      <c r="C7" s="1" t="s">
        <v>11</v>
      </c>
      <c r="D7" s="1" t="s">
        <v>9</v>
      </c>
      <c r="E7" s="1" t="s">
        <v>10</v>
      </c>
      <c r="F7" s="1">
        <v>1</v>
      </c>
      <c r="G7" s="1">
        <v>50000</v>
      </c>
      <c r="H7" s="1">
        <v>40000</v>
      </c>
      <c r="I7" s="1">
        <f>Table1[[#This Row],[Quantity]]*Table1[[#This Row],[Unit_Price]]</f>
        <v>50000</v>
      </c>
      <c r="J7" s="1">
        <f>Table1[[#This Row],[Quantity]]*Table1[[#This Row],[Unit_Cost]]</f>
        <v>40000</v>
      </c>
      <c r="K7" s="1">
        <f>Table1[[#This Row],[Total_Sales]]-Table1[[#This Row],[Total_Cost]]</f>
        <v>10000</v>
      </c>
    </row>
    <row r="8" spans="1:11" x14ac:dyDescent="0.3">
      <c r="A8" s="1">
        <v>1007</v>
      </c>
      <c r="B8" s="2">
        <v>46037</v>
      </c>
      <c r="C8" s="1" t="s">
        <v>14</v>
      </c>
      <c r="D8" s="1" t="s">
        <v>17</v>
      </c>
      <c r="E8" s="1" t="s">
        <v>10</v>
      </c>
      <c r="F8" s="1">
        <v>3</v>
      </c>
      <c r="G8" s="1">
        <v>12000</v>
      </c>
      <c r="H8" s="1">
        <v>9000</v>
      </c>
      <c r="I8" s="1">
        <f>Table1[[#This Row],[Quantity]]*Table1[[#This Row],[Unit_Price]]</f>
        <v>36000</v>
      </c>
      <c r="J8" s="1">
        <f>Table1[[#This Row],[Quantity]]*Table1[[#This Row],[Unit_Cost]]</f>
        <v>27000</v>
      </c>
      <c r="K8" s="1">
        <f>Table1[[#This Row],[Total_Sales]]-Table1[[#This Row],[Total_Cost]]</f>
        <v>9000</v>
      </c>
    </row>
    <row r="9" spans="1:11" x14ac:dyDescent="0.3">
      <c r="A9" s="1">
        <v>1008</v>
      </c>
      <c r="B9" s="2">
        <v>46040</v>
      </c>
      <c r="C9" s="1" t="s">
        <v>16</v>
      </c>
      <c r="D9" s="1" t="s">
        <v>15</v>
      </c>
      <c r="E9" s="1" t="s">
        <v>13</v>
      </c>
      <c r="F9" s="1">
        <v>6</v>
      </c>
      <c r="G9" s="1">
        <v>1200</v>
      </c>
      <c r="H9" s="1">
        <v>800</v>
      </c>
      <c r="I9" s="1">
        <f>Table1[[#This Row],[Quantity]]*Table1[[#This Row],[Unit_Price]]</f>
        <v>7200</v>
      </c>
      <c r="J9" s="1">
        <f>Table1[[#This Row],[Quantity]]*Table1[[#This Row],[Unit_Cost]]</f>
        <v>4800</v>
      </c>
      <c r="K9" s="1">
        <f>Table1[[#This Row],[Total_Sales]]-Table1[[#This Row],[Total_Cost]]</f>
        <v>2400</v>
      </c>
    </row>
    <row r="10" spans="1:11" x14ac:dyDescent="0.3">
      <c r="A10" s="1">
        <v>1009</v>
      </c>
      <c r="B10" s="2">
        <v>46042</v>
      </c>
      <c r="C10" s="1" t="s">
        <v>8</v>
      </c>
      <c r="D10" s="1" t="s">
        <v>17</v>
      </c>
      <c r="E10" s="1" t="s">
        <v>10</v>
      </c>
      <c r="F10" s="1">
        <v>2</v>
      </c>
      <c r="G10" s="1">
        <v>12000</v>
      </c>
      <c r="H10" s="1">
        <v>9000</v>
      </c>
      <c r="I10" s="1">
        <f>Table1[[#This Row],[Quantity]]*Table1[[#This Row],[Unit_Price]]</f>
        <v>24000</v>
      </c>
      <c r="J10" s="1">
        <f>Table1[[#This Row],[Quantity]]*Table1[[#This Row],[Unit_Cost]]</f>
        <v>18000</v>
      </c>
      <c r="K10" s="1">
        <f>Table1[[#This Row],[Total_Sales]]-Table1[[#This Row],[Total_Cost]]</f>
        <v>6000</v>
      </c>
    </row>
    <row r="11" spans="1:11" x14ac:dyDescent="0.3">
      <c r="A11" s="1">
        <v>1010</v>
      </c>
      <c r="B11" s="2">
        <v>46045</v>
      </c>
      <c r="C11" s="1" t="s">
        <v>11</v>
      </c>
      <c r="D11" s="1" t="s">
        <v>12</v>
      </c>
      <c r="E11" s="1" t="s">
        <v>13</v>
      </c>
      <c r="F11" s="1">
        <v>8</v>
      </c>
      <c r="G11" s="1">
        <v>500</v>
      </c>
      <c r="H11" s="1">
        <v>300</v>
      </c>
      <c r="I11" s="1">
        <f>Table1[[#This Row],[Quantity]]*Table1[[#This Row],[Unit_Price]]</f>
        <v>4000</v>
      </c>
      <c r="J11" s="1">
        <f>Table1[[#This Row],[Quantity]]*Table1[[#This Row],[Unit_Cost]]</f>
        <v>2400</v>
      </c>
      <c r="K11" s="1">
        <f>Table1[[#This Row],[Total_Sales]]-Table1[[#This Row],[Total_Cost]]</f>
        <v>1600</v>
      </c>
    </row>
    <row r="12" spans="1:11" x14ac:dyDescent="0.3">
      <c r="A12" s="1">
        <v>1011</v>
      </c>
      <c r="B12" s="2">
        <v>46055</v>
      </c>
      <c r="C12" s="1" t="s">
        <v>14</v>
      </c>
      <c r="D12" s="1" t="s">
        <v>9</v>
      </c>
      <c r="E12" s="1" t="s">
        <v>10</v>
      </c>
      <c r="F12" s="1">
        <v>2</v>
      </c>
      <c r="G12" s="1">
        <v>50000</v>
      </c>
      <c r="H12" s="1">
        <v>40000</v>
      </c>
      <c r="I12" s="1">
        <f>Table1[[#This Row],[Quantity]]*Table1[[#This Row],[Unit_Price]]</f>
        <v>100000</v>
      </c>
      <c r="J12" s="1">
        <f>Table1[[#This Row],[Quantity]]*Table1[[#This Row],[Unit_Cost]]</f>
        <v>80000</v>
      </c>
      <c r="K12" s="1">
        <f>Table1[[#This Row],[Total_Sales]]-Table1[[#This Row],[Total_Cost]]</f>
        <v>20000</v>
      </c>
    </row>
    <row r="13" spans="1:11" x14ac:dyDescent="0.3">
      <c r="A13" s="1">
        <v>1012</v>
      </c>
      <c r="B13" s="2">
        <v>46058</v>
      </c>
      <c r="C13" s="1" t="s">
        <v>16</v>
      </c>
      <c r="D13" s="1" t="s">
        <v>12</v>
      </c>
      <c r="E13" s="1" t="s">
        <v>13</v>
      </c>
      <c r="F13" s="1">
        <v>7</v>
      </c>
      <c r="G13" s="1">
        <v>500</v>
      </c>
      <c r="H13" s="1">
        <v>300</v>
      </c>
      <c r="I13" s="1">
        <f>Table1[[#This Row],[Quantity]]*Table1[[#This Row],[Unit_Price]]</f>
        <v>3500</v>
      </c>
      <c r="J13" s="1">
        <f>Table1[[#This Row],[Quantity]]*Table1[[#This Row],[Unit_Cost]]</f>
        <v>2100</v>
      </c>
      <c r="K13" s="1">
        <f>Table1[[#This Row],[Total_Sales]]-Table1[[#This Row],[Total_Cost]]</f>
        <v>1400</v>
      </c>
    </row>
    <row r="14" spans="1:11" x14ac:dyDescent="0.3">
      <c r="A14" s="1">
        <v>1013</v>
      </c>
      <c r="B14" s="2">
        <v>46061</v>
      </c>
      <c r="C14" s="1" t="s">
        <v>8</v>
      </c>
      <c r="D14" s="1" t="s">
        <v>15</v>
      </c>
      <c r="E14" s="1" t="s">
        <v>13</v>
      </c>
      <c r="F14" s="1">
        <v>4</v>
      </c>
      <c r="G14" s="1">
        <v>1200</v>
      </c>
      <c r="H14" s="1">
        <v>800</v>
      </c>
      <c r="I14" s="1">
        <f>Table1[[#This Row],[Quantity]]*Table1[[#This Row],[Unit_Price]]</f>
        <v>4800</v>
      </c>
      <c r="J14" s="1">
        <f>Table1[[#This Row],[Quantity]]*Table1[[#This Row],[Unit_Cost]]</f>
        <v>3200</v>
      </c>
      <c r="K14" s="1">
        <f>Table1[[#This Row],[Total_Sales]]-Table1[[#This Row],[Total_Cost]]</f>
        <v>1600</v>
      </c>
    </row>
    <row r="15" spans="1:11" x14ac:dyDescent="0.3">
      <c r="A15" s="1">
        <v>1014</v>
      </c>
      <c r="B15" s="2">
        <v>46064</v>
      </c>
      <c r="C15" s="1" t="s">
        <v>11</v>
      </c>
      <c r="D15" s="1" t="s">
        <v>17</v>
      </c>
      <c r="E15" s="1" t="s">
        <v>10</v>
      </c>
      <c r="F15" s="1">
        <v>2</v>
      </c>
      <c r="G15" s="1">
        <v>12000</v>
      </c>
      <c r="H15" s="1">
        <v>9000</v>
      </c>
      <c r="I15" s="1">
        <f>Table1[[#This Row],[Quantity]]*Table1[[#This Row],[Unit_Price]]</f>
        <v>24000</v>
      </c>
      <c r="J15" s="1">
        <f>Table1[[#This Row],[Quantity]]*Table1[[#This Row],[Unit_Cost]]</f>
        <v>18000</v>
      </c>
      <c r="K15" s="1">
        <f>Table1[[#This Row],[Total_Sales]]-Table1[[#This Row],[Total_Cost]]</f>
        <v>6000</v>
      </c>
    </row>
    <row r="16" spans="1:11" x14ac:dyDescent="0.3">
      <c r="A16" s="1">
        <v>1015</v>
      </c>
      <c r="B16" s="2">
        <v>46067</v>
      </c>
      <c r="C16" s="1" t="s">
        <v>14</v>
      </c>
      <c r="D16" s="1" t="s">
        <v>12</v>
      </c>
      <c r="E16" s="1" t="s">
        <v>13</v>
      </c>
      <c r="F16" s="1">
        <v>12</v>
      </c>
      <c r="G16" s="1">
        <v>500</v>
      </c>
      <c r="H16" s="1">
        <v>300</v>
      </c>
      <c r="I16" s="1">
        <f>Table1[[#This Row],[Quantity]]*Table1[[#This Row],[Unit_Price]]</f>
        <v>6000</v>
      </c>
      <c r="J16" s="1">
        <f>Table1[[#This Row],[Quantity]]*Table1[[#This Row],[Unit_Cost]]</f>
        <v>3600</v>
      </c>
      <c r="K16" s="1">
        <f>Table1[[#This Row],[Total_Sales]]-Table1[[#This Row],[Total_Cost]]</f>
        <v>2400</v>
      </c>
    </row>
    <row r="17" spans="1:11" x14ac:dyDescent="0.3">
      <c r="A17" s="1">
        <v>1016</v>
      </c>
      <c r="B17" s="2">
        <v>46070</v>
      </c>
      <c r="C17" s="1" t="s">
        <v>16</v>
      </c>
      <c r="D17" s="1" t="s">
        <v>9</v>
      </c>
      <c r="E17" s="1" t="s">
        <v>10</v>
      </c>
      <c r="F17" s="1">
        <v>1</v>
      </c>
      <c r="G17" s="1">
        <v>50000</v>
      </c>
      <c r="H17" s="1">
        <v>40000</v>
      </c>
      <c r="I17" s="1">
        <f>Table1[[#This Row],[Quantity]]*Table1[[#This Row],[Unit_Price]]</f>
        <v>50000</v>
      </c>
      <c r="J17" s="1">
        <f>Table1[[#This Row],[Quantity]]*Table1[[#This Row],[Unit_Cost]]</f>
        <v>40000</v>
      </c>
      <c r="K17" s="1">
        <f>Table1[[#This Row],[Total_Sales]]-Table1[[#This Row],[Total_Cost]]</f>
        <v>10000</v>
      </c>
    </row>
    <row r="18" spans="1:11" x14ac:dyDescent="0.3">
      <c r="A18" s="1">
        <v>1017</v>
      </c>
      <c r="B18" s="2">
        <v>46073</v>
      </c>
      <c r="C18" s="1" t="s">
        <v>8</v>
      </c>
      <c r="D18" s="1" t="s">
        <v>9</v>
      </c>
      <c r="E18" s="1" t="s">
        <v>10</v>
      </c>
      <c r="F18" s="1">
        <v>1</v>
      </c>
      <c r="G18" s="1">
        <v>50000</v>
      </c>
      <c r="H18" s="1">
        <v>40000</v>
      </c>
      <c r="I18" s="1">
        <f>Table1[[#This Row],[Quantity]]*Table1[[#This Row],[Unit_Price]]</f>
        <v>50000</v>
      </c>
      <c r="J18" s="1">
        <f>Table1[[#This Row],[Quantity]]*Table1[[#This Row],[Unit_Cost]]</f>
        <v>40000</v>
      </c>
      <c r="K18" s="1">
        <f>Table1[[#This Row],[Total_Sales]]-Table1[[#This Row],[Total_Cost]]</f>
        <v>10000</v>
      </c>
    </row>
    <row r="19" spans="1:11" x14ac:dyDescent="0.3">
      <c r="A19" s="1">
        <v>1018</v>
      </c>
      <c r="B19" s="2">
        <v>46076</v>
      </c>
      <c r="C19" s="1" t="s">
        <v>11</v>
      </c>
      <c r="D19" s="1" t="s">
        <v>15</v>
      </c>
      <c r="E19" s="1" t="s">
        <v>13</v>
      </c>
      <c r="F19" s="1">
        <v>5</v>
      </c>
      <c r="G19" s="1">
        <v>1200</v>
      </c>
      <c r="H19" s="1">
        <v>800</v>
      </c>
      <c r="I19" s="1">
        <f>Table1[[#This Row],[Quantity]]*Table1[[#This Row],[Unit_Price]]</f>
        <v>6000</v>
      </c>
      <c r="J19" s="1">
        <f>Table1[[#This Row],[Quantity]]*Table1[[#This Row],[Unit_Cost]]</f>
        <v>4000</v>
      </c>
      <c r="K19" s="1">
        <f>Table1[[#This Row],[Total_Sales]]-Table1[[#This Row],[Total_Cost]]</f>
        <v>2000</v>
      </c>
    </row>
    <row r="20" spans="1:11" x14ac:dyDescent="0.3">
      <c r="A20" s="1">
        <v>1019</v>
      </c>
      <c r="B20" s="2">
        <v>46084</v>
      </c>
      <c r="C20" s="1" t="s">
        <v>14</v>
      </c>
      <c r="D20" s="1" t="s">
        <v>17</v>
      </c>
      <c r="E20" s="1" t="s">
        <v>10</v>
      </c>
      <c r="F20" s="1">
        <v>4</v>
      </c>
      <c r="G20" s="1">
        <v>12000</v>
      </c>
      <c r="H20" s="1">
        <v>9000</v>
      </c>
      <c r="I20" s="1">
        <f>Table1[[#This Row],[Quantity]]*Table1[[#This Row],[Unit_Price]]</f>
        <v>48000</v>
      </c>
      <c r="J20" s="1">
        <f>Table1[[#This Row],[Quantity]]*Table1[[#This Row],[Unit_Cost]]</f>
        <v>36000</v>
      </c>
      <c r="K20" s="1">
        <f>Table1[[#This Row],[Total_Sales]]-Table1[[#This Row],[Total_Cost]]</f>
        <v>12000</v>
      </c>
    </row>
    <row r="21" spans="1:11" x14ac:dyDescent="0.3">
      <c r="A21" s="1">
        <v>1020</v>
      </c>
      <c r="B21" s="2">
        <v>46087</v>
      </c>
      <c r="C21" s="1" t="s">
        <v>16</v>
      </c>
      <c r="D21" s="1" t="s">
        <v>12</v>
      </c>
      <c r="E21" s="1" t="s">
        <v>13</v>
      </c>
      <c r="F21" s="1">
        <v>9</v>
      </c>
      <c r="G21" s="1">
        <v>500</v>
      </c>
      <c r="H21" s="1">
        <v>300</v>
      </c>
      <c r="I21" s="1">
        <f>Table1[[#This Row],[Quantity]]*Table1[[#This Row],[Unit_Price]]</f>
        <v>4500</v>
      </c>
      <c r="J21" s="1">
        <f>Table1[[#This Row],[Quantity]]*Table1[[#This Row],[Unit_Cost]]</f>
        <v>2700</v>
      </c>
      <c r="K21" s="1">
        <f>Table1[[#This Row],[Total_Sales]]-Table1[[#This Row],[Total_Cost]]</f>
        <v>1800</v>
      </c>
    </row>
    <row r="22" spans="1:11" x14ac:dyDescent="0.3">
      <c r="A22" s="1">
        <v>1021</v>
      </c>
      <c r="B22" s="2">
        <v>46090</v>
      </c>
      <c r="C22" s="1" t="s">
        <v>8</v>
      </c>
      <c r="D22" s="1" t="s">
        <v>17</v>
      </c>
      <c r="E22" s="1" t="s">
        <v>10</v>
      </c>
      <c r="F22" s="1">
        <v>3</v>
      </c>
      <c r="G22" s="1">
        <v>12000</v>
      </c>
      <c r="H22" s="1">
        <v>9000</v>
      </c>
      <c r="I22" s="1">
        <f>Table1[[#This Row],[Quantity]]*Table1[[#This Row],[Unit_Price]]</f>
        <v>36000</v>
      </c>
      <c r="J22" s="1">
        <f>Table1[[#This Row],[Quantity]]*Table1[[#This Row],[Unit_Cost]]</f>
        <v>27000</v>
      </c>
      <c r="K22" s="1">
        <f>Table1[[#This Row],[Total_Sales]]-Table1[[#This Row],[Total_Cost]]</f>
        <v>9000</v>
      </c>
    </row>
    <row r="23" spans="1:11" x14ac:dyDescent="0.3">
      <c r="A23" s="1">
        <v>1022</v>
      </c>
      <c r="B23" s="2">
        <v>46093</v>
      </c>
      <c r="C23" s="1" t="s">
        <v>11</v>
      </c>
      <c r="D23" s="1" t="s">
        <v>9</v>
      </c>
      <c r="E23" s="1" t="s">
        <v>10</v>
      </c>
      <c r="F23" s="1">
        <v>2</v>
      </c>
      <c r="G23" s="1">
        <v>50000</v>
      </c>
      <c r="H23" s="1">
        <v>40000</v>
      </c>
      <c r="I23" s="1">
        <f>Table1[[#This Row],[Quantity]]*Table1[[#This Row],[Unit_Price]]</f>
        <v>100000</v>
      </c>
      <c r="J23" s="1">
        <f>Table1[[#This Row],[Quantity]]*Table1[[#This Row],[Unit_Cost]]</f>
        <v>80000</v>
      </c>
      <c r="K23" s="1">
        <f>Table1[[#This Row],[Total_Sales]]-Table1[[#This Row],[Total_Cost]]</f>
        <v>20000</v>
      </c>
    </row>
    <row r="24" spans="1:11" x14ac:dyDescent="0.3">
      <c r="A24" s="1">
        <v>1023</v>
      </c>
      <c r="B24" s="2">
        <v>46096</v>
      </c>
      <c r="C24" s="1" t="s">
        <v>14</v>
      </c>
      <c r="D24" s="1" t="s">
        <v>15</v>
      </c>
      <c r="E24" s="1" t="s">
        <v>13</v>
      </c>
      <c r="F24" s="1">
        <v>7</v>
      </c>
      <c r="G24" s="1">
        <v>1200</v>
      </c>
      <c r="H24" s="1">
        <v>800</v>
      </c>
      <c r="I24" s="1">
        <f>Table1[[#This Row],[Quantity]]*Table1[[#This Row],[Unit_Price]]</f>
        <v>8400</v>
      </c>
      <c r="J24" s="1">
        <f>Table1[[#This Row],[Quantity]]*Table1[[#This Row],[Unit_Cost]]</f>
        <v>5600</v>
      </c>
      <c r="K24" s="1">
        <f>Table1[[#This Row],[Total_Sales]]-Table1[[#This Row],[Total_Cost]]</f>
        <v>2800</v>
      </c>
    </row>
    <row r="25" spans="1:11" x14ac:dyDescent="0.3">
      <c r="A25" s="1">
        <v>1024</v>
      </c>
      <c r="B25" s="2">
        <v>46099</v>
      </c>
      <c r="C25" s="1" t="s">
        <v>16</v>
      </c>
      <c r="D25" s="1" t="s">
        <v>17</v>
      </c>
      <c r="E25" s="1" t="s">
        <v>10</v>
      </c>
      <c r="F25" s="1">
        <v>1</v>
      </c>
      <c r="G25" s="1">
        <v>12000</v>
      </c>
      <c r="H25" s="1">
        <v>9000</v>
      </c>
      <c r="I25" s="1">
        <f>Table1[[#This Row],[Quantity]]*Table1[[#This Row],[Unit_Price]]</f>
        <v>12000</v>
      </c>
      <c r="J25" s="1">
        <f>Table1[[#This Row],[Quantity]]*Table1[[#This Row],[Unit_Cost]]</f>
        <v>9000</v>
      </c>
      <c r="K25" s="1">
        <f>Table1[[#This Row],[Total_Sales]]-Table1[[#This Row],[Total_Cost]]</f>
        <v>3000</v>
      </c>
    </row>
    <row r="26" spans="1:11" x14ac:dyDescent="0.3">
      <c r="A26" s="1">
        <v>1025</v>
      </c>
      <c r="B26" s="2">
        <v>46102</v>
      </c>
      <c r="C26" s="1" t="s">
        <v>8</v>
      </c>
      <c r="D26" s="1" t="s">
        <v>12</v>
      </c>
      <c r="E26" s="1" t="s">
        <v>13</v>
      </c>
      <c r="F26" s="1">
        <v>6</v>
      </c>
      <c r="G26" s="1">
        <v>500</v>
      </c>
      <c r="H26" s="1">
        <v>300</v>
      </c>
      <c r="I26" s="1">
        <f>Table1[[#This Row],[Quantity]]*Table1[[#This Row],[Unit_Price]]</f>
        <v>3000</v>
      </c>
      <c r="J26" s="1">
        <f>Table1[[#This Row],[Quantity]]*Table1[[#This Row],[Unit_Cost]]</f>
        <v>1800</v>
      </c>
      <c r="K26" s="1">
        <f>Table1[[#This Row],[Total_Sales]]-Table1[[#This Row],[Total_Cost]]</f>
        <v>1200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6752A-765A-4D3A-B246-76AF7549F97C}">
  <dimension ref="A3:D4"/>
  <sheetViews>
    <sheetView workbookViewId="0">
      <selection activeCell="AE22" sqref="AE22"/>
    </sheetView>
  </sheetViews>
  <sheetFormatPr defaultRowHeight="14.4" x14ac:dyDescent="0.3"/>
  <cols>
    <col min="1" max="1" width="17" bestFit="1" customWidth="1"/>
    <col min="2" max="2" width="17.5546875" bestFit="1" customWidth="1"/>
    <col min="3" max="3" width="14.88671875" bestFit="1" customWidth="1"/>
    <col min="4" max="4" width="16.44140625" bestFit="1" customWidth="1"/>
  </cols>
  <sheetData>
    <row r="3" spans="1:4" x14ac:dyDescent="0.3">
      <c r="A3" t="s">
        <v>23</v>
      </c>
      <c r="B3" t="s">
        <v>24</v>
      </c>
      <c r="C3" t="s">
        <v>34</v>
      </c>
      <c r="D3" t="s">
        <v>35</v>
      </c>
    </row>
    <row r="4" spans="1:4" x14ac:dyDescent="0.3">
      <c r="A4" s="12">
        <v>712500</v>
      </c>
      <c r="B4" s="12">
        <v>162400</v>
      </c>
      <c r="C4" s="12">
        <v>108</v>
      </c>
      <c r="D4" s="12">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FE575-4739-48D3-9A0D-4871D5433A2C}">
  <dimension ref="A3:C7"/>
  <sheetViews>
    <sheetView workbookViewId="0">
      <selection activeCell="AE22" sqref="AE22"/>
    </sheetView>
  </sheetViews>
  <sheetFormatPr defaultRowHeight="14.4" x14ac:dyDescent="0.3"/>
  <cols>
    <col min="1" max="1" width="12.5546875" bestFit="1" customWidth="1"/>
    <col min="2" max="3" width="7" bestFit="1" customWidth="1"/>
  </cols>
  <sheetData>
    <row r="3" spans="1:3" x14ac:dyDescent="0.3">
      <c r="A3" s="3" t="s">
        <v>21</v>
      </c>
      <c r="B3" t="s">
        <v>36</v>
      </c>
      <c r="C3" t="s">
        <v>37</v>
      </c>
    </row>
    <row r="4" spans="1:3" x14ac:dyDescent="0.3">
      <c r="A4" s="4" t="s">
        <v>31</v>
      </c>
      <c r="B4" s="12">
        <v>256300</v>
      </c>
      <c r="C4" s="12">
        <v>59200</v>
      </c>
    </row>
    <row r="5" spans="1:3" x14ac:dyDescent="0.3">
      <c r="A5" s="4" t="s">
        <v>32</v>
      </c>
      <c r="B5" s="12">
        <v>244300</v>
      </c>
      <c r="C5" s="12">
        <v>53400</v>
      </c>
    </row>
    <row r="6" spans="1:3" x14ac:dyDescent="0.3">
      <c r="A6" s="4" t="s">
        <v>33</v>
      </c>
      <c r="B6" s="12">
        <v>211900</v>
      </c>
      <c r="C6" s="12">
        <v>49800</v>
      </c>
    </row>
    <row r="7" spans="1:3" x14ac:dyDescent="0.3">
      <c r="A7" s="4" t="s">
        <v>22</v>
      </c>
      <c r="B7" s="12">
        <v>712500</v>
      </c>
      <c r="C7" s="12">
        <v>162400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2996A-6612-48F7-AB40-49AA061049CE}">
  <dimension ref="A3:B6"/>
  <sheetViews>
    <sheetView workbookViewId="0">
      <selection activeCell="AE22" sqref="AE22"/>
    </sheetView>
  </sheetViews>
  <sheetFormatPr defaultRowHeight="14.4" x14ac:dyDescent="0.3"/>
  <cols>
    <col min="1" max="1" width="12.5546875" bestFit="1" customWidth="1"/>
    <col min="2" max="2" width="17" bestFit="1" customWidth="1"/>
    <col min="3" max="3" width="11.88671875" bestFit="1" customWidth="1"/>
    <col min="4" max="13" width="6" bestFit="1" customWidth="1"/>
    <col min="14" max="15" width="7" bestFit="1" customWidth="1"/>
    <col min="16" max="16" width="6" bestFit="1" customWidth="1"/>
    <col min="17" max="18" width="7" bestFit="1" customWidth="1"/>
    <col min="19" max="19" width="10.77734375" bestFit="1" customWidth="1"/>
  </cols>
  <sheetData>
    <row r="3" spans="1:2" x14ac:dyDescent="0.3">
      <c r="A3" s="3" t="s">
        <v>21</v>
      </c>
      <c r="B3" t="s">
        <v>23</v>
      </c>
    </row>
    <row r="4" spans="1:2" x14ac:dyDescent="0.3">
      <c r="A4" s="4" t="s">
        <v>13</v>
      </c>
      <c r="B4" s="12">
        <v>58500</v>
      </c>
    </row>
    <row r="5" spans="1:2" x14ac:dyDescent="0.3">
      <c r="A5" s="4" t="s">
        <v>10</v>
      </c>
      <c r="B5" s="12">
        <v>654000</v>
      </c>
    </row>
    <row r="6" spans="1:2" x14ac:dyDescent="0.3">
      <c r="A6" s="4" t="s">
        <v>22</v>
      </c>
      <c r="B6" s="12">
        <v>712500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2602-18FC-452C-86A1-DC6A33DB8A64}">
  <dimension ref="A3:B8"/>
  <sheetViews>
    <sheetView workbookViewId="0">
      <selection activeCell="H22" sqref="H22"/>
    </sheetView>
  </sheetViews>
  <sheetFormatPr defaultRowHeight="14.4" x14ac:dyDescent="0.3"/>
  <cols>
    <col min="1" max="1" width="12.5546875" bestFit="1" customWidth="1"/>
    <col min="2" max="2" width="17" bestFit="1" customWidth="1"/>
  </cols>
  <sheetData>
    <row r="3" spans="1:2" x14ac:dyDescent="0.3">
      <c r="A3" s="3" t="s">
        <v>21</v>
      </c>
      <c r="B3" t="s">
        <v>23</v>
      </c>
    </row>
    <row r="4" spans="1:2" x14ac:dyDescent="0.3">
      <c r="A4" s="4" t="s">
        <v>15</v>
      </c>
      <c r="B4" s="12">
        <v>30000</v>
      </c>
    </row>
    <row r="5" spans="1:2" x14ac:dyDescent="0.3">
      <c r="A5" s="4" t="s">
        <v>9</v>
      </c>
      <c r="B5" s="12">
        <v>450000</v>
      </c>
    </row>
    <row r="6" spans="1:2" x14ac:dyDescent="0.3">
      <c r="A6" s="4" t="s">
        <v>17</v>
      </c>
      <c r="B6" s="12">
        <v>204000</v>
      </c>
    </row>
    <row r="7" spans="1:2" x14ac:dyDescent="0.3">
      <c r="A7" s="4" t="s">
        <v>12</v>
      </c>
      <c r="B7" s="12">
        <v>28500</v>
      </c>
    </row>
    <row r="8" spans="1:2" x14ac:dyDescent="0.3">
      <c r="A8" s="4" t="s">
        <v>22</v>
      </c>
      <c r="B8" s="12">
        <v>712500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CA200-E962-4B05-B937-D32B771516E5}">
  <dimension ref="A3:B8"/>
  <sheetViews>
    <sheetView workbookViewId="0">
      <selection activeCell="T16" sqref="T16"/>
    </sheetView>
  </sheetViews>
  <sheetFormatPr defaultRowHeight="14.4" x14ac:dyDescent="0.3"/>
  <cols>
    <col min="1" max="1" width="12.5546875" bestFit="1" customWidth="1"/>
    <col min="2" max="2" width="17.5546875" bestFit="1" customWidth="1"/>
  </cols>
  <sheetData>
    <row r="3" spans="1:2" x14ac:dyDescent="0.3">
      <c r="A3" s="3" t="s">
        <v>21</v>
      </c>
      <c r="B3" t="s">
        <v>24</v>
      </c>
    </row>
    <row r="4" spans="1:2" x14ac:dyDescent="0.3">
      <c r="A4" s="4" t="s">
        <v>15</v>
      </c>
      <c r="B4" s="12">
        <v>10000</v>
      </c>
    </row>
    <row r="5" spans="1:2" x14ac:dyDescent="0.3">
      <c r="A5" s="4" t="s">
        <v>9</v>
      </c>
      <c r="B5" s="12">
        <v>90000</v>
      </c>
    </row>
    <row r="6" spans="1:2" x14ac:dyDescent="0.3">
      <c r="A6" s="4" t="s">
        <v>17</v>
      </c>
      <c r="B6" s="12">
        <v>51000</v>
      </c>
    </row>
    <row r="7" spans="1:2" x14ac:dyDescent="0.3">
      <c r="A7" s="4" t="s">
        <v>12</v>
      </c>
      <c r="B7" s="12">
        <v>11400</v>
      </c>
    </row>
    <row r="8" spans="1:2" x14ac:dyDescent="0.3">
      <c r="A8" s="4" t="s">
        <v>22</v>
      </c>
      <c r="B8" s="12">
        <v>162400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61BC-A0E9-4615-B767-B1601B1C9238}">
  <dimension ref="A3:B8"/>
  <sheetViews>
    <sheetView workbookViewId="0">
      <selection activeCell="T17" sqref="T17"/>
    </sheetView>
  </sheetViews>
  <sheetFormatPr defaultRowHeight="14.4" x14ac:dyDescent="0.3"/>
  <cols>
    <col min="1" max="1" width="12.5546875" bestFit="1" customWidth="1"/>
    <col min="2" max="2" width="17" bestFit="1" customWidth="1"/>
  </cols>
  <sheetData>
    <row r="3" spans="1:2" x14ac:dyDescent="0.3">
      <c r="A3" s="3" t="s">
        <v>21</v>
      </c>
      <c r="B3" t="s">
        <v>23</v>
      </c>
    </row>
    <row r="4" spans="1:2" x14ac:dyDescent="0.3">
      <c r="A4" s="4" t="s">
        <v>16</v>
      </c>
      <c r="B4" s="12">
        <v>101200</v>
      </c>
    </row>
    <row r="5" spans="1:2" x14ac:dyDescent="0.3">
      <c r="A5" s="4" t="s">
        <v>11</v>
      </c>
      <c r="B5" s="12">
        <v>186500</v>
      </c>
    </row>
    <row r="6" spans="1:2" x14ac:dyDescent="0.3">
      <c r="A6" s="4" t="s">
        <v>14</v>
      </c>
      <c r="B6" s="12">
        <v>202000</v>
      </c>
    </row>
    <row r="7" spans="1:2" x14ac:dyDescent="0.3">
      <c r="A7" s="4" t="s">
        <v>8</v>
      </c>
      <c r="B7" s="12">
        <v>222800</v>
      </c>
    </row>
    <row r="8" spans="1:2" x14ac:dyDescent="0.3">
      <c r="A8" s="4" t="s">
        <v>22</v>
      </c>
      <c r="B8" s="12">
        <v>712500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vt:lpstr>
      <vt:lpstr>Pivot_KPI</vt:lpstr>
      <vt:lpstr>Pivot_Month</vt:lpstr>
      <vt:lpstr>Pivot_Category</vt:lpstr>
      <vt:lpstr>Pivot_Product</vt:lpstr>
      <vt:lpstr>Pivot_Profit</vt:lpstr>
      <vt:lpstr>Pivot_Region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Dubey</dc:creator>
  <cp:lastModifiedBy>Animesh Dubey</cp:lastModifiedBy>
  <dcterms:created xsi:type="dcterms:W3CDTF">2026-10-26T13:23:29Z</dcterms:created>
  <dcterms:modified xsi:type="dcterms:W3CDTF">2026-10-28T17:20:42Z</dcterms:modified>
</cp:coreProperties>
</file>